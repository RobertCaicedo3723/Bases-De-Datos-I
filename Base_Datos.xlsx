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8_{F0025A81-8DA6-4D09-A026-B9EED720E546}" xr6:coauthVersionLast="47" xr6:coauthVersionMax="47" xr10:uidLastSave="{00000000-0000-0000-0000-000000000000}"/>
  <bookViews>
    <workbookView xWindow="-120" yWindow="-120" windowWidth="20730" windowHeight="11040" firstSheet="14" activeTab="19" xr2:uid="{70F24F13-3E94-432C-9208-FAE9A7581204}"/>
  </bookViews>
  <sheets>
    <sheet name="GÉNERO" sheetId="1" r:id="rId1"/>
    <sheet name="DISTRIBUIDOR" sheetId="2" r:id="rId2"/>
    <sheet name="PELICULA" sheetId="3" r:id="rId3"/>
    <sheet name="CINE" sheetId="4" r:id="rId4"/>
    <sheet name="SALA" sheetId="5" r:id="rId5"/>
    <sheet name="TIPO_FUNCION" sheetId="6" r:id="rId6"/>
    <sheet name="TIPO_ESPECTACULO" sheetId="7" r:id="rId7"/>
    <sheet name="ESPECIALIDAD" sheetId="8" r:id="rId8"/>
    <sheet name="ARTISTA" sheetId="9" r:id="rId9"/>
    <sheet name="PRODUCTOR" sheetId="10" r:id="rId10"/>
    <sheet name="ESPECTÁCULO" sheetId="11" r:id="rId11"/>
    <sheet name="ARTISTA_ESPECTACULO" sheetId="12" r:id="rId12"/>
    <sheet name="PRODUCTOR_ESPECTACULO" sheetId="13" r:id="rId13"/>
    <sheet name="FUNCION" sheetId="14" r:id="rId14"/>
    <sheet name="MEMBRESIA" sheetId="15" r:id="rId15"/>
    <sheet name="CLIENTE" sheetId="16" r:id="rId16"/>
    <sheet name="RESERVA" sheetId="17" r:id="rId17"/>
    <sheet name="BOLETO" sheetId="18" r:id="rId18"/>
    <sheet name="PROMOCION" sheetId="19" r:id="rId19"/>
    <sheet name="BOLETO_PROMOCION" sheetId="20" r:id="rId20"/>
    <sheet name="Hoja21" sheetId="21" r:id="rId2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" i="20" l="1"/>
  <c r="C4" i="20"/>
  <c r="C5" i="20"/>
  <c r="C6" i="20"/>
  <c r="C7" i="20"/>
  <c r="C8" i="20"/>
  <c r="C9" i="20"/>
  <c r="C10" i="20"/>
  <c r="C11" i="20"/>
  <c r="C2" i="20"/>
  <c r="D3" i="19"/>
  <c r="D4" i="19"/>
  <c r="D5" i="19"/>
  <c r="D6" i="19"/>
  <c r="D7" i="19"/>
  <c r="D8" i="19"/>
  <c r="D9" i="19"/>
  <c r="D10" i="19"/>
  <c r="D11" i="19"/>
  <c r="D2" i="19"/>
  <c r="F3" i="18"/>
  <c r="F4" i="18"/>
  <c r="F5" i="18"/>
  <c r="F6" i="18"/>
  <c r="F7" i="18"/>
  <c r="F8" i="18"/>
  <c r="F9" i="18"/>
  <c r="F10" i="18"/>
  <c r="F11" i="18"/>
  <c r="F2" i="18"/>
  <c r="F3" i="17"/>
  <c r="F4" i="17"/>
  <c r="F5" i="17"/>
  <c r="F6" i="17"/>
  <c r="F7" i="17"/>
  <c r="F8" i="17"/>
  <c r="F9" i="17"/>
  <c r="F10" i="17"/>
  <c r="F11" i="17"/>
  <c r="F2" i="17"/>
  <c r="F3" i="16"/>
  <c r="F4" i="16"/>
  <c r="F5" i="16"/>
  <c r="F6" i="16"/>
  <c r="F7" i="16"/>
  <c r="F8" i="16"/>
  <c r="F9" i="16"/>
  <c r="F10" i="16"/>
  <c r="F11" i="16"/>
  <c r="F2" i="16"/>
  <c r="E3" i="15"/>
  <c r="E4" i="15"/>
  <c r="E5" i="15"/>
  <c r="E6" i="15"/>
  <c r="E7" i="15"/>
  <c r="E8" i="15"/>
  <c r="E9" i="15"/>
  <c r="E10" i="15"/>
  <c r="E11" i="15"/>
  <c r="E2" i="15"/>
  <c r="H3" i="14"/>
  <c r="H4" i="14"/>
  <c r="H5" i="14"/>
  <c r="H6" i="14"/>
  <c r="H7" i="14"/>
  <c r="H8" i="14"/>
  <c r="H9" i="14"/>
  <c r="H10" i="14"/>
  <c r="H11" i="14"/>
  <c r="H2" i="14"/>
  <c r="C3" i="13"/>
  <c r="C4" i="13"/>
  <c r="C5" i="13"/>
  <c r="C6" i="13"/>
  <c r="C7" i="13"/>
  <c r="C8" i="13"/>
  <c r="C9" i="13"/>
  <c r="C10" i="13"/>
  <c r="C11" i="13"/>
  <c r="C2" i="13"/>
  <c r="C3" i="12"/>
  <c r="C4" i="12"/>
  <c r="C5" i="12"/>
  <c r="C6" i="12"/>
  <c r="C7" i="12"/>
  <c r="C8" i="12"/>
  <c r="C9" i="12"/>
  <c r="C10" i="12"/>
  <c r="C11" i="12"/>
  <c r="C2" i="12"/>
  <c r="E3" i="11"/>
  <c r="E4" i="11"/>
  <c r="E5" i="11"/>
  <c r="E6" i="11"/>
  <c r="E7" i="11"/>
  <c r="E8" i="11"/>
  <c r="E9" i="11"/>
  <c r="E10" i="11"/>
  <c r="E11" i="11"/>
  <c r="E2" i="11"/>
  <c r="D3" i="10"/>
  <c r="D4" i="10"/>
  <c r="D5" i="10"/>
  <c r="D6" i="10"/>
  <c r="D7" i="10"/>
  <c r="D8" i="10"/>
  <c r="D9" i="10"/>
  <c r="D10" i="10"/>
  <c r="D11" i="10"/>
  <c r="D2" i="10"/>
  <c r="E3" i="9"/>
  <c r="E4" i="9"/>
  <c r="E5" i="9"/>
  <c r="E6" i="9"/>
  <c r="E7" i="9"/>
  <c r="E8" i="9"/>
  <c r="E9" i="9"/>
  <c r="E10" i="9"/>
  <c r="E11" i="9"/>
  <c r="E2" i="9"/>
  <c r="C3" i="8"/>
  <c r="C4" i="8"/>
  <c r="C5" i="8"/>
  <c r="C6" i="8"/>
  <c r="C7" i="8"/>
  <c r="C8" i="8"/>
  <c r="C9" i="8"/>
  <c r="C10" i="8"/>
  <c r="C11" i="8"/>
  <c r="C2" i="8"/>
  <c r="C2" i="1"/>
  <c r="D3" i="7"/>
  <c r="D4" i="7"/>
  <c r="D5" i="7"/>
  <c r="D6" i="7"/>
  <c r="D7" i="7"/>
  <c r="D8" i="7"/>
  <c r="D9" i="7"/>
  <c r="D10" i="7"/>
  <c r="D11" i="7"/>
  <c r="D2" i="7"/>
  <c r="D3" i="6"/>
  <c r="D4" i="6"/>
  <c r="D5" i="6"/>
  <c r="D6" i="6"/>
  <c r="D7" i="6"/>
  <c r="D8" i="6"/>
  <c r="D9" i="6"/>
  <c r="D10" i="6"/>
  <c r="D11" i="6"/>
  <c r="D2" i="6"/>
  <c r="F3" i="5"/>
  <c r="F4" i="5"/>
  <c r="F5" i="5"/>
  <c r="F6" i="5"/>
  <c r="F7" i="5"/>
  <c r="F8" i="5"/>
  <c r="F9" i="5"/>
  <c r="F10" i="5"/>
  <c r="F11" i="5"/>
  <c r="F2" i="5"/>
  <c r="F3" i="4"/>
  <c r="F4" i="4"/>
  <c r="F5" i="4"/>
  <c r="F6" i="4"/>
  <c r="F7" i="4"/>
  <c r="F8" i="4"/>
  <c r="F9" i="4"/>
  <c r="F10" i="4"/>
  <c r="F11" i="4"/>
  <c r="F2" i="4"/>
  <c r="G3" i="3"/>
  <c r="G4" i="3"/>
  <c r="G5" i="3"/>
  <c r="G6" i="3"/>
  <c r="G7" i="3"/>
  <c r="G8" i="3"/>
  <c r="G9" i="3"/>
  <c r="G10" i="3"/>
  <c r="G11" i="3"/>
  <c r="G2" i="3"/>
  <c r="D3" i="2"/>
  <c r="D4" i="2"/>
  <c r="D5" i="2"/>
  <c r="D6" i="2"/>
  <c r="D7" i="2"/>
  <c r="D8" i="2"/>
  <c r="D9" i="2"/>
  <c r="D10" i="2"/>
  <c r="D11" i="2"/>
  <c r="D2" i="2"/>
  <c r="C3" i="1"/>
  <c r="C4" i="1"/>
  <c r="C5" i="1"/>
  <c r="C6" i="1"/>
  <c r="C7" i="1"/>
  <c r="C8" i="1"/>
  <c r="C9" i="1"/>
  <c r="C10" i="1"/>
  <c r="C11" i="1"/>
</calcChain>
</file>

<file path=xl/sharedStrings.xml><?xml version="1.0" encoding="utf-8"?>
<sst xmlns="http://schemas.openxmlformats.org/spreadsheetml/2006/main" count="365" uniqueCount="315">
  <si>
    <t>Id_genero</t>
  </si>
  <si>
    <t>Nombre</t>
  </si>
  <si>
    <t>Acción</t>
  </si>
  <si>
    <t>Comedia</t>
  </si>
  <si>
    <t>Terror</t>
  </si>
  <si>
    <t>Drama</t>
  </si>
  <si>
    <t>Ciencia Ficción</t>
  </si>
  <si>
    <t>Romance</t>
  </si>
  <si>
    <t>Aventura</t>
  </si>
  <si>
    <t>Suspenso</t>
  </si>
  <si>
    <t>Animación</t>
  </si>
  <si>
    <t>Documental</t>
  </si>
  <si>
    <t>Id_distr</t>
  </si>
  <si>
    <t>Contacto</t>
  </si>
  <si>
    <t>Warner Bros</t>
  </si>
  <si>
    <t>contacto@warner.com</t>
  </si>
  <si>
    <t>Paramount</t>
  </si>
  <si>
    <t>contacto@paramount.com</t>
  </si>
  <si>
    <t>Universal Pictures</t>
  </si>
  <si>
    <t>info@universal.com</t>
  </si>
  <si>
    <t>Sony Pictures</t>
  </si>
  <si>
    <t>contacto@sony.com</t>
  </si>
  <si>
    <t>20th Century Studios</t>
  </si>
  <si>
    <t>info@20thcentury.com</t>
  </si>
  <si>
    <t>Lionsgate</t>
  </si>
  <si>
    <t>contacto@lionsgate.com</t>
  </si>
  <si>
    <t>Netflix Studios</t>
  </si>
  <si>
    <t>studio@netflix.com</t>
  </si>
  <si>
    <t>Amazon Studios</t>
  </si>
  <si>
    <t>contacto@amazonstudios.com</t>
  </si>
  <si>
    <t>Walt Disney Studios</t>
  </si>
  <si>
    <t>contacto@disney.com</t>
  </si>
  <si>
    <t>Illumination</t>
  </si>
  <si>
    <t>info@illumination.com</t>
  </si>
  <si>
    <t>Id_peli</t>
  </si>
  <si>
    <t>Duración</t>
  </si>
  <si>
    <t>Clasificación</t>
  </si>
  <si>
    <t>Nombre_P</t>
  </si>
  <si>
    <t>Id_distr1</t>
  </si>
  <si>
    <t>Id_genero1</t>
  </si>
  <si>
    <t>PG-13</t>
  </si>
  <si>
    <t>Batman</t>
  </si>
  <si>
    <t>PG</t>
  </si>
  <si>
    <t>Sonic</t>
  </si>
  <si>
    <t>R</t>
  </si>
  <si>
    <t>El Conjuro</t>
  </si>
  <si>
    <t>Inception</t>
  </si>
  <si>
    <t>Titanic</t>
  </si>
  <si>
    <t>Minions</t>
  </si>
  <si>
    <t>Avengers</t>
  </si>
  <si>
    <t>Jurassic World</t>
  </si>
  <si>
    <t>Jumanji</t>
  </si>
  <si>
    <t>Toy Story</t>
  </si>
  <si>
    <t>Id_cin</t>
  </si>
  <si>
    <t>Capacidad</t>
  </si>
  <si>
    <t>Cine Colombia</t>
  </si>
  <si>
    <t>Centro Comercial Titan</t>
  </si>
  <si>
    <t>Royal Films</t>
  </si>
  <si>
    <t>Mall Plaza</t>
  </si>
  <si>
    <t>Procinal</t>
  </si>
  <si>
    <t>Centro Comercial Gran Estación</t>
  </si>
  <si>
    <t>Cinemark</t>
  </si>
  <si>
    <t>Centro Comercial Santafé</t>
  </si>
  <si>
    <t>Cinépolis</t>
  </si>
  <si>
    <t>Centro Comercial Andino</t>
  </si>
  <si>
    <t>Cinema Paraíso</t>
  </si>
  <si>
    <t>Barrio Usaquén</t>
  </si>
  <si>
    <t>Cinema VIP</t>
  </si>
  <si>
    <t>Centro Comercial Multiplaza</t>
  </si>
  <si>
    <t>Cine Star</t>
  </si>
  <si>
    <t>Centro Comercial Portal 80</t>
  </si>
  <si>
    <t>Autocinema Bogotá</t>
  </si>
  <si>
    <t>Parqueadero Salitre</t>
  </si>
  <si>
    <t>CineMax</t>
  </si>
  <si>
    <t>Centro Comercial Hayuelos</t>
  </si>
  <si>
    <t>Id_sala</t>
  </si>
  <si>
    <t>Nombre_sa</t>
  </si>
  <si>
    <t>Tipo</t>
  </si>
  <si>
    <t>Id_cin1</t>
  </si>
  <si>
    <t>Sala 1</t>
  </si>
  <si>
    <t>2D</t>
  </si>
  <si>
    <t>Sala 2</t>
  </si>
  <si>
    <t>3D</t>
  </si>
  <si>
    <t>Sala Premier</t>
  </si>
  <si>
    <t>VIP</t>
  </si>
  <si>
    <t>Sala 3</t>
  </si>
  <si>
    <t>Sala 4</t>
  </si>
  <si>
    <t>Sala IMAX</t>
  </si>
  <si>
    <t>IMAX</t>
  </si>
  <si>
    <t>Sala Deluxe</t>
  </si>
  <si>
    <t>Sala 5</t>
  </si>
  <si>
    <t>Sala 6</t>
  </si>
  <si>
    <t>Sala 7</t>
  </si>
  <si>
    <t>Id_tipofuncion</t>
  </si>
  <si>
    <t>Descripcion</t>
  </si>
  <si>
    <t>Matiné</t>
  </si>
  <si>
    <t>Función temprano</t>
  </si>
  <si>
    <t>Noche</t>
  </si>
  <si>
    <t>Función de última hora</t>
  </si>
  <si>
    <t>Tarde</t>
  </si>
  <si>
    <t>Función de la tarde</t>
  </si>
  <si>
    <t>Premier</t>
  </si>
  <si>
    <t>Estreno especial</t>
  </si>
  <si>
    <t>Función VIP</t>
  </si>
  <si>
    <t>Función exclusiva premium</t>
  </si>
  <si>
    <t>Función 3D</t>
  </si>
  <si>
    <t>Proyección en 3D</t>
  </si>
  <si>
    <t>Función IMAX</t>
  </si>
  <si>
    <t>Proyección en formato IMAX</t>
  </si>
  <si>
    <t>Función Doblada</t>
  </si>
  <si>
    <t>Película doblada</t>
  </si>
  <si>
    <t>Función Subtitulada</t>
  </si>
  <si>
    <t>Película subtitulada</t>
  </si>
  <si>
    <t>Maratón</t>
  </si>
  <si>
    <t>Varias funciones seguidas</t>
  </si>
  <si>
    <t>Id_tipoespec</t>
  </si>
  <si>
    <t>Show Musical</t>
  </si>
  <si>
    <t>Espectáculo con música en vivo</t>
  </si>
  <si>
    <t>Teatro</t>
  </si>
  <si>
    <t>Obra teatral profesional</t>
  </si>
  <si>
    <t>Stand-Up Comedy</t>
  </si>
  <si>
    <t>Presentación de comedia en vivo</t>
  </si>
  <si>
    <t>Danza</t>
  </si>
  <si>
    <t>Espectáculo de baile</t>
  </si>
  <si>
    <t>Magia</t>
  </si>
  <si>
    <t>Show de ilusionismo</t>
  </si>
  <si>
    <t>Circo</t>
  </si>
  <si>
    <t>Actuaciones circenses</t>
  </si>
  <si>
    <t>Concierto Acústico</t>
  </si>
  <si>
    <t>Música acústica en vivo</t>
  </si>
  <si>
    <t>Show Infantil</t>
  </si>
  <si>
    <t>Espectáculo orientado a niños</t>
  </si>
  <si>
    <t>Opera</t>
  </si>
  <si>
    <t>Presentación operística</t>
  </si>
  <si>
    <t>Performance Artístico</t>
  </si>
  <si>
    <t>Arte escénico experimental</t>
  </si>
  <si>
    <t>Id_especialidad</t>
  </si>
  <si>
    <t>Actor</t>
  </si>
  <si>
    <t>Cantante</t>
  </si>
  <si>
    <t>Bailarín</t>
  </si>
  <si>
    <t>Director</t>
  </si>
  <si>
    <t>Productor</t>
  </si>
  <si>
    <t>Guionista</t>
  </si>
  <si>
    <t>Comediante</t>
  </si>
  <si>
    <t>Ilusionista</t>
  </si>
  <si>
    <t>Acróbata</t>
  </si>
  <si>
    <t>Presentador</t>
  </si>
  <si>
    <t>Id_art</t>
  </si>
  <si>
    <t>Nacionalidad</t>
  </si>
  <si>
    <t>Id_especialidad1</t>
  </si>
  <si>
    <t>Carlos Ruiz</t>
  </si>
  <si>
    <t>Colombiano</t>
  </si>
  <si>
    <t>Ana Torres</t>
  </si>
  <si>
    <t>Mexicana</t>
  </si>
  <si>
    <t>Luis Vega</t>
  </si>
  <si>
    <t>Argentino</t>
  </si>
  <si>
    <t>María López</t>
  </si>
  <si>
    <t>Chilena</t>
  </si>
  <si>
    <t>Diego Herrera</t>
  </si>
  <si>
    <t>Peruano</t>
  </si>
  <si>
    <t>Sofía Mendes</t>
  </si>
  <si>
    <t>Brasileña</t>
  </si>
  <si>
    <t>Javier Castillo</t>
  </si>
  <si>
    <t>Valentina Cruz</t>
  </si>
  <si>
    <t>Uruguaya</t>
  </si>
  <si>
    <t>Pedro Salas</t>
  </si>
  <si>
    <t>Venezolano</t>
  </si>
  <si>
    <t>Laura Medina</t>
  </si>
  <si>
    <t>Española</t>
  </si>
  <si>
    <t>Id_prod</t>
  </si>
  <si>
    <t>Juan Pérez</t>
  </si>
  <si>
    <t>jp@correo.com</t>
  </si>
  <si>
    <t>Lucía Gómez</t>
  </si>
  <si>
    <t>lg@correo.com</t>
  </si>
  <si>
    <t>Roberto Díaz</t>
  </si>
  <si>
    <t>rd@correo.com</t>
  </si>
  <si>
    <t>Marta Sánchez</t>
  </si>
  <si>
    <t>ms@correo.com</t>
  </si>
  <si>
    <t>Ernesto Rivas</t>
  </si>
  <si>
    <t>er@correo.com</t>
  </si>
  <si>
    <t>Carolina Núñez</t>
  </si>
  <si>
    <t>cn@correo.com</t>
  </si>
  <si>
    <t>Felipe Romero</t>
  </si>
  <si>
    <t>fr@correo.com</t>
  </si>
  <si>
    <t>Daniela Cortés</t>
  </si>
  <si>
    <t>dc@correo.com</t>
  </si>
  <si>
    <t>Andrés Molina</t>
  </si>
  <si>
    <t>am@correo.com</t>
  </si>
  <si>
    <t>Camila Duarte</t>
  </si>
  <si>
    <t>cd@correo.com</t>
  </si>
  <si>
    <t>Id_espec</t>
  </si>
  <si>
    <t>Id_tipoespec1</t>
  </si>
  <si>
    <t>Show Latino</t>
  </si>
  <si>
    <t>90.5</t>
  </si>
  <si>
    <t>Obra Romeo y Julieta</t>
  </si>
  <si>
    <t>120.0</t>
  </si>
  <si>
    <t>Noche de Stand-Up</t>
  </si>
  <si>
    <t>75.0</t>
  </si>
  <si>
    <t>Gala de Danza Moderna</t>
  </si>
  <si>
    <t>95.0</t>
  </si>
  <si>
    <t>Magia Extrema</t>
  </si>
  <si>
    <t>60.0</t>
  </si>
  <si>
    <t>Circo Fantasía</t>
  </si>
  <si>
    <t>110.0</t>
  </si>
  <si>
    <t>85.0</t>
  </si>
  <si>
    <t>Show Infantil Mágico</t>
  </si>
  <si>
    <t>70.0</t>
  </si>
  <si>
    <t>Ópera Nocturna</t>
  </si>
  <si>
    <t>150.0</t>
  </si>
  <si>
    <t>Arte Experimental Vivo</t>
  </si>
  <si>
    <t>65.0</t>
  </si>
  <si>
    <t>Id_art1</t>
  </si>
  <si>
    <t>Id_espec2</t>
  </si>
  <si>
    <t>Id_prod2</t>
  </si>
  <si>
    <t>Id_espec1</t>
  </si>
  <si>
    <t>Id_fun</t>
  </si>
  <si>
    <t>Fecha</t>
  </si>
  <si>
    <t>Hora</t>
  </si>
  <si>
    <t>Id_sala1</t>
  </si>
  <si>
    <t>Id_peli1</t>
  </si>
  <si>
    <t>Id_tipofuncion1</t>
  </si>
  <si>
    <t>Id_mem</t>
  </si>
  <si>
    <t>Descuento</t>
  </si>
  <si>
    <t>Duracion</t>
  </si>
  <si>
    <t>Gold</t>
  </si>
  <si>
    <t>20.00</t>
  </si>
  <si>
    <t>Silver</t>
  </si>
  <si>
    <t>10.00</t>
  </si>
  <si>
    <t>Básica</t>
  </si>
  <si>
    <t>0.00</t>
  </si>
  <si>
    <t>Platinum</t>
  </si>
  <si>
    <t>30.00</t>
  </si>
  <si>
    <t>Premium</t>
  </si>
  <si>
    <t>25.00</t>
  </si>
  <si>
    <t>Student</t>
  </si>
  <si>
    <t>15.00</t>
  </si>
  <si>
    <t>Familiar</t>
  </si>
  <si>
    <t>12.00</t>
  </si>
  <si>
    <t>35.00</t>
  </si>
  <si>
    <t>Weekend</t>
  </si>
  <si>
    <t>5.00</t>
  </si>
  <si>
    <t>Invitado</t>
  </si>
  <si>
    <t>Id_Clie</t>
  </si>
  <si>
    <t>Correo</t>
  </si>
  <si>
    <t>Telefono</t>
  </si>
  <si>
    <t>Id_mem1</t>
  </si>
  <si>
    <t>Roberto Sánchez</t>
  </si>
  <si>
    <t>robert@gmail.com</t>
  </si>
  <si>
    <t>maria@gmail.com</t>
  </si>
  <si>
    <t>Juan Torres</t>
  </si>
  <si>
    <t>juant@gmail.com</t>
  </si>
  <si>
    <t>Laura Martínez</t>
  </si>
  <si>
    <t>lauram@gmail.com</t>
  </si>
  <si>
    <t>Pedro Gómez</t>
  </si>
  <si>
    <t>pedrog@gmail.com</t>
  </si>
  <si>
    <t>Sofía Hernández</t>
  </si>
  <si>
    <t>sofiah@gmail.com</t>
  </si>
  <si>
    <t>Carlos Ortiz</t>
  </si>
  <si>
    <t>carloso@gmail.com</t>
  </si>
  <si>
    <t>Diana Rivas</t>
  </si>
  <si>
    <t>dianar@gmail.com</t>
  </si>
  <si>
    <t>Esteban Silva</t>
  </si>
  <si>
    <t>estebans@gmail.com</t>
  </si>
  <si>
    <t>Natalia Cruz</t>
  </si>
  <si>
    <t>nataliac@gmail.com</t>
  </si>
  <si>
    <t>Id_res</t>
  </si>
  <si>
    <t>Estado</t>
  </si>
  <si>
    <t>Id_fun1</t>
  </si>
  <si>
    <t>Id_Clie1</t>
  </si>
  <si>
    <t>Activa</t>
  </si>
  <si>
    <t>Cancelada</t>
  </si>
  <si>
    <t>Pendiente</t>
  </si>
  <si>
    <t>id_boleto</t>
  </si>
  <si>
    <t>asiento</t>
  </si>
  <si>
    <t>precio</t>
  </si>
  <si>
    <t>id_espectaculo</t>
  </si>
  <si>
    <t>id_cliente</t>
  </si>
  <si>
    <t>A12</t>
  </si>
  <si>
    <t>B05</t>
  </si>
  <si>
    <t>C10</t>
  </si>
  <si>
    <t>D03</t>
  </si>
  <si>
    <t>A01</t>
  </si>
  <si>
    <t>B11</t>
  </si>
  <si>
    <t>C07</t>
  </si>
  <si>
    <t>D15</t>
  </si>
  <si>
    <t>A09</t>
  </si>
  <si>
    <t>B02</t>
  </si>
  <si>
    <t>id_promocion</t>
  </si>
  <si>
    <t>descripcion</t>
  </si>
  <si>
    <t>porcentaje</t>
  </si>
  <si>
    <t>Descuento por miércoles</t>
  </si>
  <si>
    <t>Promo estudiante</t>
  </si>
  <si>
    <t>Promo fin de semana</t>
  </si>
  <si>
    <t>Descuento adulto mayor</t>
  </si>
  <si>
    <t>Combo pareja</t>
  </si>
  <si>
    <t>Promo cumpleaños</t>
  </si>
  <si>
    <t>Descuento primera compra</t>
  </si>
  <si>
    <t>18.00</t>
  </si>
  <si>
    <t>Promo VIP</t>
  </si>
  <si>
    <t>22.00</t>
  </si>
  <si>
    <t>Promo temporada</t>
  </si>
  <si>
    <t>14.00</t>
  </si>
  <si>
    <t>Happy hour</t>
  </si>
  <si>
    <t>16.00</t>
  </si>
  <si>
    <t>Ubicación</t>
  </si>
  <si>
    <t>contacto@cinecolombia.com</t>
  </si>
  <si>
    <t>info@royalfilms.com</t>
  </si>
  <si>
    <t>servicio@procinal.com</t>
  </si>
  <si>
    <t>soporte@cinemark.com</t>
  </si>
  <si>
    <t>contacto@cinepolis.com</t>
  </si>
  <si>
    <t>info@cinemaparaiso.com</t>
  </si>
  <si>
    <t>vip@cinemavip.com</t>
  </si>
  <si>
    <t>contacto@cinestar.com</t>
  </si>
  <si>
    <t>info@autocinemabogota.com</t>
  </si>
  <si>
    <t>soporte@cinemax.com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</si>
</sst>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14" fontId="0" fillId="0" borderId="0" xfId="0" applyNumberFormat="1"/>
    <xf numFmtId="20" fontId="0" fillId="0" borderId="0" xfId="0" applyNumberFormat="1"/>
    <xf numFmtId="0" fontId="1" fillId="0" borderId="0" xfId="1" applyNumberFormat="1"/>
    <xf numFmtId="0" fontId="0" fillId="0" borderId="0" xfId="0" applyNumberForma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B28E4-6D56-45FC-B416-E02C55517398}">
  <dimension ref="A1:C11"/>
  <sheetViews>
    <sheetView workbookViewId="0">
      <selection activeCell="C2" sqref="C2"/>
    </sheetView>
  </sheetViews>
  <sheetFormatPr baseColWidth="10" defaultRowHeight="15" x14ac:dyDescent="0.25"/>
  <cols>
    <col min="2" max="2" width="14" bestFit="1" customWidth="1"/>
  </cols>
  <sheetData>
    <row r="1" spans="1:3" x14ac:dyDescent="0.25">
      <c r="A1" t="s">
        <v>0</v>
      </c>
      <c r="B1" t="s">
        <v>1</v>
      </c>
    </row>
    <row r="2" spans="1:3" x14ac:dyDescent="0.25">
      <c r="A2">
        <v>1</v>
      </c>
      <c r="B2" t="s">
        <v>2</v>
      </c>
      <c r="C2" t="str">
        <f t="shared" ref="C2:C11" si="0">"INSERT INTO GENERO VALUES ('"&amp;A2&amp;"', '"&amp;B2&amp;"')"</f>
        <v>INSERT INTO GENERO VALUES ('1', 'Acción')</v>
      </c>
    </row>
    <row r="3" spans="1:3" x14ac:dyDescent="0.25">
      <c r="A3">
        <v>2</v>
      </c>
      <c r="B3" t="s">
        <v>3</v>
      </c>
      <c r="C3" t="str">
        <f t="shared" si="0"/>
        <v>INSERT INTO GENERO VALUES ('2', 'Comedia')</v>
      </c>
    </row>
    <row r="4" spans="1:3" x14ac:dyDescent="0.25">
      <c r="A4">
        <v>3</v>
      </c>
      <c r="B4" t="s">
        <v>4</v>
      </c>
      <c r="C4" t="str">
        <f t="shared" si="0"/>
        <v>INSERT INTO GENERO VALUES ('3', 'Terror')</v>
      </c>
    </row>
    <row r="5" spans="1:3" x14ac:dyDescent="0.25">
      <c r="A5">
        <v>4</v>
      </c>
      <c r="B5" t="s">
        <v>5</v>
      </c>
      <c r="C5" t="str">
        <f t="shared" si="0"/>
        <v>INSERT INTO GENERO VALUES ('4', 'Drama')</v>
      </c>
    </row>
    <row r="6" spans="1:3" x14ac:dyDescent="0.25">
      <c r="A6">
        <v>5</v>
      </c>
      <c r="B6" t="s">
        <v>6</v>
      </c>
      <c r="C6" t="str">
        <f t="shared" si="0"/>
        <v>INSERT INTO GENERO VALUES ('5', 'Ciencia Ficción')</v>
      </c>
    </row>
    <row r="7" spans="1:3" x14ac:dyDescent="0.25">
      <c r="A7">
        <v>6</v>
      </c>
      <c r="B7" t="s">
        <v>7</v>
      </c>
      <c r="C7" t="str">
        <f t="shared" si="0"/>
        <v>INSERT INTO GENERO VALUES ('6', 'Romance')</v>
      </c>
    </row>
    <row r="8" spans="1:3" x14ac:dyDescent="0.25">
      <c r="A8">
        <v>7</v>
      </c>
      <c r="B8" t="s">
        <v>8</v>
      </c>
      <c r="C8" t="str">
        <f t="shared" si="0"/>
        <v>INSERT INTO GENERO VALUES ('7', 'Aventura')</v>
      </c>
    </row>
    <row r="9" spans="1:3" x14ac:dyDescent="0.25">
      <c r="A9">
        <v>8</v>
      </c>
      <c r="B9" t="s">
        <v>9</v>
      </c>
      <c r="C9" t="str">
        <f t="shared" si="0"/>
        <v>INSERT INTO GENERO VALUES ('8', 'Suspenso')</v>
      </c>
    </row>
    <row r="10" spans="1:3" x14ac:dyDescent="0.25">
      <c r="A10">
        <v>9</v>
      </c>
      <c r="B10" t="s">
        <v>10</v>
      </c>
      <c r="C10" t="str">
        <f t="shared" si="0"/>
        <v>INSERT INTO GENERO VALUES ('9', 'Animación')</v>
      </c>
    </row>
    <row r="11" spans="1:3" x14ac:dyDescent="0.25">
      <c r="A11">
        <v>10</v>
      </c>
      <c r="B11" t="s">
        <v>11</v>
      </c>
      <c r="C11" t="str">
        <f t="shared" si="0"/>
        <v>INSERT INTO GENERO VALUES ('10', 'Documental')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13464-E9A2-4F24-B2AF-6229CDEF4468}">
  <dimension ref="A1:D11"/>
  <sheetViews>
    <sheetView workbookViewId="0">
      <selection activeCell="D2" sqref="D2"/>
    </sheetView>
  </sheetViews>
  <sheetFormatPr baseColWidth="10" defaultRowHeight="15" x14ac:dyDescent="0.25"/>
  <cols>
    <col min="2" max="2" width="19.42578125" bestFit="1" customWidth="1"/>
    <col min="3" max="3" width="28.42578125" bestFit="1" customWidth="1"/>
  </cols>
  <sheetData>
    <row r="1" spans="1:4" x14ac:dyDescent="0.25">
      <c r="A1" t="s">
        <v>12</v>
      </c>
      <c r="B1" t="s">
        <v>1</v>
      </c>
      <c r="C1" t="s">
        <v>13</v>
      </c>
    </row>
    <row r="2" spans="1:4" x14ac:dyDescent="0.25">
      <c r="A2">
        <v>1</v>
      </c>
      <c r="B2" t="s">
        <v>14</v>
      </c>
      <c r="C2" t="s">
        <v>15</v>
      </c>
      <c r="D2" t="str">
        <f>"INSERT INTO DISTRIBUIDOR VALUES ('"&amp;A2&amp;"', '"&amp;B2&amp;"','"&amp;C2&amp;"')"</f>
        <v>INSERT INTO DISTRIBUIDOR VALUES ('1', 'Warner Bros','contacto@warner.com')</v>
      </c>
    </row>
    <row r="3" spans="1:4" x14ac:dyDescent="0.25">
      <c r="A3">
        <v>2</v>
      </c>
      <c r="B3" t="s">
        <v>16</v>
      </c>
      <c r="C3" t="s">
        <v>17</v>
      </c>
      <c r="D3" t="str">
        <f t="shared" ref="D3:D11" si="0">"INSERT INTO DISTRIBUIDOR VALUES ('"&amp;A3&amp;"', '"&amp;B3&amp;"','"&amp;C3&amp;"')"</f>
        <v>INSERT INTO DISTRIBUIDOR VALUES ('2', 'Paramount','contacto@paramount.com')</v>
      </c>
    </row>
    <row r="4" spans="1:4" x14ac:dyDescent="0.25">
      <c r="A4">
        <v>3</v>
      </c>
      <c r="B4" t="s">
        <v>18</v>
      </c>
      <c r="C4" t="s">
        <v>19</v>
      </c>
      <c r="D4" t="str">
        <f t="shared" si="0"/>
        <v>INSERT INTO DISTRIBUIDOR VALUES ('3', 'Universal Pictures','info@universal.com')</v>
      </c>
    </row>
    <row r="5" spans="1:4" x14ac:dyDescent="0.25">
      <c r="A5">
        <v>4</v>
      </c>
      <c r="B5" t="s">
        <v>20</v>
      </c>
      <c r="C5" t="s">
        <v>21</v>
      </c>
      <c r="D5" t="str">
        <f t="shared" si="0"/>
        <v>INSERT INTO DISTRIBUIDOR VALUES ('4', 'Sony Pictures','contacto@sony.com')</v>
      </c>
    </row>
    <row r="6" spans="1:4" x14ac:dyDescent="0.25">
      <c r="A6">
        <v>5</v>
      </c>
      <c r="B6" t="s">
        <v>22</v>
      </c>
      <c r="C6" t="s">
        <v>23</v>
      </c>
      <c r="D6" t="str">
        <f t="shared" si="0"/>
        <v>INSERT INTO DISTRIBUIDOR VALUES ('5', '20th Century Studios','info@20thcentury.com')</v>
      </c>
    </row>
    <row r="7" spans="1:4" x14ac:dyDescent="0.25">
      <c r="A7">
        <v>6</v>
      </c>
      <c r="B7" t="s">
        <v>24</v>
      </c>
      <c r="C7" t="s">
        <v>25</v>
      </c>
      <c r="D7" t="str">
        <f t="shared" si="0"/>
        <v>INSERT INTO DISTRIBUIDOR VALUES ('6', 'Lionsgate','contacto@lionsgate.com')</v>
      </c>
    </row>
    <row r="8" spans="1:4" x14ac:dyDescent="0.25">
      <c r="A8">
        <v>7</v>
      </c>
      <c r="B8" t="s">
        <v>26</v>
      </c>
      <c r="C8" t="s">
        <v>27</v>
      </c>
      <c r="D8" t="str">
        <f t="shared" si="0"/>
        <v>INSERT INTO DISTRIBUIDOR VALUES ('7', 'Netflix Studios','studio@netflix.com')</v>
      </c>
    </row>
    <row r="9" spans="1:4" x14ac:dyDescent="0.25">
      <c r="A9">
        <v>8</v>
      </c>
      <c r="B9" t="s">
        <v>28</v>
      </c>
      <c r="C9" t="s">
        <v>29</v>
      </c>
      <c r="D9" t="str">
        <f t="shared" si="0"/>
        <v>INSERT INTO DISTRIBUIDOR VALUES ('8', 'Amazon Studios','contacto@amazonstudios.com')</v>
      </c>
    </row>
    <row r="10" spans="1:4" x14ac:dyDescent="0.25">
      <c r="A10">
        <v>9</v>
      </c>
      <c r="B10" t="s">
        <v>30</v>
      </c>
      <c r="C10" t="s">
        <v>31</v>
      </c>
      <c r="D10" t="str">
        <f t="shared" si="0"/>
        <v>INSERT INTO DISTRIBUIDOR VALUES ('9', 'Walt Disney Studios','contacto@disney.com')</v>
      </c>
    </row>
    <row r="11" spans="1:4" x14ac:dyDescent="0.25">
      <c r="A11">
        <v>10</v>
      </c>
      <c r="B11" t="s">
        <v>32</v>
      </c>
      <c r="C11" t="s">
        <v>33</v>
      </c>
      <c r="D11" t="str">
        <f t="shared" si="0"/>
        <v>INSERT INTO DISTRIBUIDOR VALUES ('10', 'Illumination','info@illumination.com')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3A02B-0BD0-4AB4-B85D-4576489D47F3}">
  <dimension ref="A1:G11"/>
  <sheetViews>
    <sheetView workbookViewId="0">
      <selection activeCell="G2" sqref="G2"/>
    </sheetView>
  </sheetViews>
  <sheetFormatPr baseColWidth="10" defaultRowHeight="15" x14ac:dyDescent="0.25"/>
  <sheetData>
    <row r="1" spans="1:7" x14ac:dyDescent="0.25">
      <c r="A1" t="s">
        <v>34</v>
      </c>
      <c r="B1" t="s">
        <v>35</v>
      </c>
      <c r="C1" t="s">
        <v>36</v>
      </c>
      <c r="D1" t="s">
        <v>37</v>
      </c>
      <c r="E1" t="s">
        <v>38</v>
      </c>
      <c r="F1" t="s">
        <v>39</v>
      </c>
    </row>
    <row r="2" spans="1:7" x14ac:dyDescent="0.25">
      <c r="A2">
        <v>1</v>
      </c>
      <c r="B2">
        <v>120</v>
      </c>
      <c r="C2" t="s">
        <v>40</v>
      </c>
      <c r="D2" t="s">
        <v>41</v>
      </c>
      <c r="E2">
        <v>1</v>
      </c>
      <c r="F2">
        <v>1</v>
      </c>
      <c r="G2" t="str">
        <f>"INSERT INTO PELICULA VALUES ('"&amp;A2&amp;"', '"&amp;B2&amp;"','"&amp;C2&amp;"','"&amp;D2&amp;"', '"&amp;E2&amp;"','"&amp;F2&amp;"')"</f>
        <v>INSERT INTO PELICULA VALUES ('1', '120','PG-13','Batman', '1','1')</v>
      </c>
    </row>
    <row r="3" spans="1:7" x14ac:dyDescent="0.25">
      <c r="A3">
        <v>2</v>
      </c>
      <c r="B3">
        <v>95</v>
      </c>
      <c r="C3" t="s">
        <v>42</v>
      </c>
      <c r="D3" t="s">
        <v>43</v>
      </c>
      <c r="E3">
        <v>2</v>
      </c>
      <c r="F3">
        <v>2</v>
      </c>
      <c r="G3" t="str">
        <f t="shared" ref="G3:G11" si="0">"INSERT INTO PELICULA VALUES ('"&amp;A3&amp;"', '"&amp;B3&amp;"','"&amp;C3&amp;"','"&amp;D3&amp;"', '"&amp;E3&amp;"','"&amp;F3&amp;"')"</f>
        <v>INSERT INTO PELICULA VALUES ('2', '95','PG','Sonic', '2','2')</v>
      </c>
    </row>
    <row r="4" spans="1:7" x14ac:dyDescent="0.25">
      <c r="A4">
        <v>3</v>
      </c>
      <c r="B4">
        <v>110</v>
      </c>
      <c r="C4" t="s">
        <v>44</v>
      </c>
      <c r="D4" t="s">
        <v>45</v>
      </c>
      <c r="E4">
        <v>3</v>
      </c>
      <c r="F4">
        <v>3</v>
      </c>
      <c r="G4" t="str">
        <f t="shared" si="0"/>
        <v>INSERT INTO PELICULA VALUES ('3', '110','R','El Conjuro', '3','3')</v>
      </c>
    </row>
    <row r="5" spans="1:7" x14ac:dyDescent="0.25">
      <c r="A5">
        <v>4</v>
      </c>
      <c r="B5">
        <v>150</v>
      </c>
      <c r="C5" t="s">
        <v>40</v>
      </c>
      <c r="D5" t="s">
        <v>46</v>
      </c>
      <c r="E5">
        <v>4</v>
      </c>
      <c r="F5">
        <v>5</v>
      </c>
      <c r="G5" t="str">
        <f t="shared" si="0"/>
        <v>INSERT INTO PELICULA VALUES ('4', '150','PG-13','Inception', '4','5')</v>
      </c>
    </row>
    <row r="6" spans="1:7" x14ac:dyDescent="0.25">
      <c r="A6">
        <v>5</v>
      </c>
      <c r="B6">
        <v>130</v>
      </c>
      <c r="C6" t="s">
        <v>42</v>
      </c>
      <c r="D6" t="s">
        <v>47</v>
      </c>
      <c r="E6">
        <v>2</v>
      </c>
      <c r="F6">
        <v>4</v>
      </c>
      <c r="G6" t="str">
        <f t="shared" si="0"/>
        <v>INSERT INTO PELICULA VALUES ('5', '130','PG','Titanic', '2','4')</v>
      </c>
    </row>
    <row r="7" spans="1:7" x14ac:dyDescent="0.25">
      <c r="A7">
        <v>6</v>
      </c>
      <c r="B7">
        <v>102</v>
      </c>
      <c r="C7" t="s">
        <v>42</v>
      </c>
      <c r="D7" t="s">
        <v>48</v>
      </c>
      <c r="E7">
        <v>10</v>
      </c>
      <c r="F7">
        <v>9</v>
      </c>
      <c r="G7" t="str">
        <f t="shared" si="0"/>
        <v>INSERT INTO PELICULA VALUES ('6', '102','PG','Minions', '10','9')</v>
      </c>
    </row>
    <row r="8" spans="1:7" x14ac:dyDescent="0.25">
      <c r="A8">
        <v>7</v>
      </c>
      <c r="B8">
        <v>140</v>
      </c>
      <c r="C8" t="s">
        <v>40</v>
      </c>
      <c r="D8" t="s">
        <v>49</v>
      </c>
      <c r="E8">
        <v>9</v>
      </c>
      <c r="F8">
        <v>1</v>
      </c>
      <c r="G8" t="str">
        <f t="shared" si="0"/>
        <v>INSERT INTO PELICULA VALUES ('7', '140','PG-13','Avengers', '9','1')</v>
      </c>
    </row>
    <row r="9" spans="1:7" x14ac:dyDescent="0.25">
      <c r="A9">
        <v>8</v>
      </c>
      <c r="B9">
        <v>125</v>
      </c>
      <c r="C9" t="s">
        <v>42</v>
      </c>
      <c r="D9" t="s">
        <v>50</v>
      </c>
      <c r="E9">
        <v>3</v>
      </c>
      <c r="F9">
        <v>7</v>
      </c>
      <c r="G9" t="str">
        <f t="shared" si="0"/>
        <v>INSERT INTO PELICULA VALUES ('8', '125','PG','Jurassic World', '3','7')</v>
      </c>
    </row>
    <row r="10" spans="1:7" x14ac:dyDescent="0.25">
      <c r="A10">
        <v>9</v>
      </c>
      <c r="B10">
        <v>100</v>
      </c>
      <c r="C10" t="s">
        <v>40</v>
      </c>
      <c r="D10" t="s">
        <v>51</v>
      </c>
      <c r="E10">
        <v>6</v>
      </c>
      <c r="F10">
        <v>7</v>
      </c>
      <c r="G10" t="str">
        <f t="shared" si="0"/>
        <v>INSERT INTO PELICULA VALUES ('9', '100','PG-13','Jumanji', '6','7')</v>
      </c>
    </row>
    <row r="11" spans="1:7" x14ac:dyDescent="0.25">
      <c r="A11">
        <v>10</v>
      </c>
      <c r="B11">
        <v>90</v>
      </c>
      <c r="C11" t="s">
        <v>42</v>
      </c>
      <c r="D11" t="s">
        <v>52</v>
      </c>
      <c r="E11">
        <v>9</v>
      </c>
      <c r="F11">
        <v>9</v>
      </c>
      <c r="G11" t="str">
        <f t="shared" si="0"/>
        <v>INSERT INTO PELICULA VALUES ('10', '90','PG','Toy Story', '9','9')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34D2F-619D-4319-B292-A35FA087B38C}">
  <dimension ref="A1:F13"/>
  <sheetViews>
    <sheetView workbookViewId="0">
      <selection activeCell="F2" sqref="F2"/>
    </sheetView>
  </sheetViews>
  <sheetFormatPr baseColWidth="10" defaultRowHeight="15" x14ac:dyDescent="0.25"/>
  <cols>
    <col min="5" max="5" width="27.7109375" bestFit="1" customWidth="1"/>
  </cols>
  <sheetData>
    <row r="1" spans="1:6" x14ac:dyDescent="0.25">
      <c r="A1" t="s">
        <v>53</v>
      </c>
      <c r="B1" t="s">
        <v>1</v>
      </c>
      <c r="C1" t="s">
        <v>304</v>
      </c>
      <c r="D1" t="s">
        <v>54</v>
      </c>
      <c r="E1" t="s">
        <v>13</v>
      </c>
    </row>
    <row r="2" spans="1:6" x14ac:dyDescent="0.25">
      <c r="A2">
        <v>1</v>
      </c>
      <c r="B2" t="s">
        <v>55</v>
      </c>
      <c r="C2" t="s">
        <v>56</v>
      </c>
      <c r="D2">
        <v>300</v>
      </c>
      <c r="E2" s="3" t="s">
        <v>305</v>
      </c>
      <c r="F2" t="str">
        <f>"INSERT INTO CINE VALUES ( '"&amp;A2&amp;"','"&amp;B2&amp;"','"&amp;C2&amp;"', '"&amp;D2&amp;"','"&amp;E2&amp;"')"</f>
        <v>INSERT INTO CINE VALUES ( '1','Cine Colombia','Centro Comercial Titan', '300','contacto@cinecolombia.com')</v>
      </c>
    </row>
    <row r="3" spans="1:6" x14ac:dyDescent="0.25">
      <c r="A3">
        <v>2</v>
      </c>
      <c r="B3" t="s">
        <v>57</v>
      </c>
      <c r="C3" t="s">
        <v>58</v>
      </c>
      <c r="D3">
        <v>250</v>
      </c>
      <c r="E3" s="3" t="s">
        <v>306</v>
      </c>
      <c r="F3" t="str">
        <f t="shared" ref="F3:F11" si="0">"INSERT INTO CINE VALUES ( '"&amp;A3&amp;"','"&amp;B3&amp;"','"&amp;C3&amp;"', '"&amp;D3&amp;"','"&amp;E3&amp;"')"</f>
        <v>INSERT INTO CINE VALUES ( '2','Royal Films','Mall Plaza', '250','info@royalfilms.com')</v>
      </c>
    </row>
    <row r="4" spans="1:6" x14ac:dyDescent="0.25">
      <c r="A4">
        <v>3</v>
      </c>
      <c r="B4" t="s">
        <v>59</v>
      </c>
      <c r="C4" t="s">
        <v>60</v>
      </c>
      <c r="D4">
        <v>220</v>
      </c>
      <c r="E4" s="3" t="s">
        <v>307</v>
      </c>
      <c r="F4" t="str">
        <f t="shared" si="0"/>
        <v>INSERT INTO CINE VALUES ( '3','Procinal','Centro Comercial Gran Estación', '220','servicio@procinal.com')</v>
      </c>
    </row>
    <row r="5" spans="1:6" x14ac:dyDescent="0.25">
      <c r="A5">
        <v>4</v>
      </c>
      <c r="B5" t="s">
        <v>61</v>
      </c>
      <c r="C5" t="s">
        <v>62</v>
      </c>
      <c r="D5">
        <v>350</v>
      </c>
      <c r="E5" s="3" t="s">
        <v>308</v>
      </c>
      <c r="F5" t="str">
        <f t="shared" si="0"/>
        <v>INSERT INTO CINE VALUES ( '4','Cinemark','Centro Comercial Santafé', '350','soporte@cinemark.com')</v>
      </c>
    </row>
    <row r="6" spans="1:6" x14ac:dyDescent="0.25">
      <c r="A6">
        <v>5</v>
      </c>
      <c r="B6" t="s">
        <v>63</v>
      </c>
      <c r="C6" t="s">
        <v>64</v>
      </c>
      <c r="D6">
        <v>280</v>
      </c>
      <c r="E6" s="3" t="s">
        <v>309</v>
      </c>
      <c r="F6" t="str">
        <f t="shared" si="0"/>
        <v>INSERT INTO CINE VALUES ( '5','Cinépolis','Centro Comercial Andino', '280','contacto@cinepolis.com')</v>
      </c>
    </row>
    <row r="7" spans="1:6" x14ac:dyDescent="0.25">
      <c r="A7">
        <v>6</v>
      </c>
      <c r="B7" t="s">
        <v>65</v>
      </c>
      <c r="C7" t="s">
        <v>66</v>
      </c>
      <c r="D7">
        <v>120</v>
      </c>
      <c r="E7" s="3" t="s">
        <v>310</v>
      </c>
      <c r="F7" t="str">
        <f t="shared" si="0"/>
        <v>INSERT INTO CINE VALUES ( '6','Cinema Paraíso','Barrio Usaquén', '120','info@cinemaparaiso.com')</v>
      </c>
    </row>
    <row r="8" spans="1:6" x14ac:dyDescent="0.25">
      <c r="A8">
        <v>7</v>
      </c>
      <c r="B8" t="s">
        <v>67</v>
      </c>
      <c r="C8" t="s">
        <v>68</v>
      </c>
      <c r="D8">
        <v>200</v>
      </c>
      <c r="E8" s="3" t="s">
        <v>311</v>
      </c>
      <c r="F8" t="str">
        <f t="shared" si="0"/>
        <v>INSERT INTO CINE VALUES ( '7','Cinema VIP','Centro Comercial Multiplaza', '200','vip@cinemavip.com')</v>
      </c>
    </row>
    <row r="9" spans="1:6" x14ac:dyDescent="0.25">
      <c r="A9">
        <v>8</v>
      </c>
      <c r="B9" t="s">
        <v>69</v>
      </c>
      <c r="C9" t="s">
        <v>70</v>
      </c>
      <c r="D9">
        <v>180</v>
      </c>
      <c r="E9" s="3" t="s">
        <v>312</v>
      </c>
      <c r="F9" t="str">
        <f t="shared" si="0"/>
        <v>INSERT INTO CINE VALUES ( '8','Cine Star','Centro Comercial Portal 80', '180','contacto@cinestar.com')</v>
      </c>
    </row>
    <row r="10" spans="1:6" x14ac:dyDescent="0.25">
      <c r="A10">
        <v>9</v>
      </c>
      <c r="B10" t="s">
        <v>71</v>
      </c>
      <c r="C10" t="s">
        <v>72</v>
      </c>
      <c r="D10">
        <v>150</v>
      </c>
      <c r="E10" s="3" t="s">
        <v>313</v>
      </c>
      <c r="F10" t="str">
        <f t="shared" si="0"/>
        <v>INSERT INTO CINE VALUES ( '9','Autocinema Bogotá','Parqueadero Salitre', '150','info@autocinemabogota.com')</v>
      </c>
    </row>
    <row r="11" spans="1:6" x14ac:dyDescent="0.25">
      <c r="A11">
        <v>10</v>
      </c>
      <c r="B11" t="s">
        <v>73</v>
      </c>
      <c r="C11" t="s">
        <v>74</v>
      </c>
      <c r="D11">
        <v>260</v>
      </c>
      <c r="E11" s="3" t="s">
        <v>314</v>
      </c>
      <c r="F11" t="str">
        <f t="shared" si="0"/>
        <v>INSERT INTO CINE VALUES ( '10','CineMax','Centro Comercial Hayuelos', '260','soporte@cinemax.com')</v>
      </c>
    </row>
    <row r="12" spans="1:6" x14ac:dyDescent="0.25">
      <c r="E12" s="4"/>
    </row>
    <row r="13" spans="1:6" x14ac:dyDescent="0.25">
      <c r="E13" s="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6B20A-CB2F-4D21-B888-D37DF531CE70}">
  <dimension ref="A1:F11"/>
  <sheetViews>
    <sheetView workbookViewId="0">
      <selection activeCell="F2" sqref="F2"/>
    </sheetView>
  </sheetViews>
  <sheetFormatPr baseColWidth="10" defaultRowHeight="15" x14ac:dyDescent="0.25"/>
  <sheetData>
    <row r="1" spans="1:6" x14ac:dyDescent="0.25">
      <c r="A1" t="s">
        <v>75</v>
      </c>
      <c r="B1" t="s">
        <v>76</v>
      </c>
      <c r="C1" t="s">
        <v>54</v>
      </c>
      <c r="D1" t="s">
        <v>77</v>
      </c>
      <c r="E1" t="s">
        <v>78</v>
      </c>
    </row>
    <row r="2" spans="1:6" x14ac:dyDescent="0.25">
      <c r="A2">
        <v>1</v>
      </c>
      <c r="B2" t="s">
        <v>79</v>
      </c>
      <c r="C2">
        <v>100</v>
      </c>
      <c r="D2" t="s">
        <v>80</v>
      </c>
      <c r="E2">
        <v>1</v>
      </c>
      <c r="F2" t="str">
        <f>"INSERT INTO SALA VALUES ( '"&amp;A2&amp;"','"&amp;B2&amp;"','"&amp;C2&amp;"', '"&amp;D2&amp;"','"&amp;E2&amp;"')"</f>
        <v>INSERT INTO SALA VALUES ( '1','Sala 1','100', '2D','1')</v>
      </c>
    </row>
    <row r="3" spans="1:6" x14ac:dyDescent="0.25">
      <c r="A3">
        <v>2</v>
      </c>
      <c r="B3" t="s">
        <v>81</v>
      </c>
      <c r="C3">
        <v>80</v>
      </c>
      <c r="D3" t="s">
        <v>82</v>
      </c>
      <c r="E3">
        <v>1</v>
      </c>
      <c r="F3" t="str">
        <f t="shared" ref="F3:F11" si="0">"INSERT INTO SALA VALUES ( '"&amp;A3&amp;"','"&amp;B3&amp;"','"&amp;C3&amp;"', '"&amp;D3&amp;"','"&amp;E3&amp;"')"</f>
        <v>INSERT INTO SALA VALUES ( '2','Sala 2','80', '3D','1')</v>
      </c>
    </row>
    <row r="4" spans="1:6" x14ac:dyDescent="0.25">
      <c r="A4">
        <v>3</v>
      </c>
      <c r="B4" t="s">
        <v>83</v>
      </c>
      <c r="C4">
        <v>70</v>
      </c>
      <c r="D4" t="s">
        <v>84</v>
      </c>
      <c r="E4">
        <v>2</v>
      </c>
      <c r="F4" t="str">
        <f t="shared" si="0"/>
        <v>INSERT INTO SALA VALUES ( '3','Sala Premier','70', 'VIP','2')</v>
      </c>
    </row>
    <row r="5" spans="1:6" x14ac:dyDescent="0.25">
      <c r="A5">
        <v>4</v>
      </c>
      <c r="B5" t="s">
        <v>85</v>
      </c>
      <c r="C5">
        <v>120</v>
      </c>
      <c r="D5" t="s">
        <v>80</v>
      </c>
      <c r="E5">
        <v>3</v>
      </c>
      <c r="F5" t="str">
        <f t="shared" si="0"/>
        <v>INSERT INTO SALA VALUES ( '4','Sala 3','120', '2D','3')</v>
      </c>
    </row>
    <row r="6" spans="1:6" x14ac:dyDescent="0.25">
      <c r="A6">
        <v>5</v>
      </c>
      <c r="B6" t="s">
        <v>86</v>
      </c>
      <c r="C6">
        <v>90</v>
      </c>
      <c r="D6" t="s">
        <v>82</v>
      </c>
      <c r="E6">
        <v>3</v>
      </c>
      <c r="F6" t="str">
        <f t="shared" si="0"/>
        <v>INSERT INTO SALA VALUES ( '5','Sala 4','90', '3D','3')</v>
      </c>
    </row>
    <row r="7" spans="1:6" x14ac:dyDescent="0.25">
      <c r="A7">
        <v>6</v>
      </c>
      <c r="B7" t="s">
        <v>87</v>
      </c>
      <c r="C7">
        <v>150</v>
      </c>
      <c r="D7" t="s">
        <v>88</v>
      </c>
      <c r="E7">
        <v>4</v>
      </c>
      <c r="F7" t="str">
        <f t="shared" si="0"/>
        <v>INSERT INTO SALA VALUES ( '6','Sala IMAX','150', 'IMAX','4')</v>
      </c>
    </row>
    <row r="8" spans="1:6" x14ac:dyDescent="0.25">
      <c r="A8">
        <v>7</v>
      </c>
      <c r="B8" t="s">
        <v>89</v>
      </c>
      <c r="C8">
        <v>110</v>
      </c>
      <c r="D8" t="s">
        <v>84</v>
      </c>
      <c r="E8">
        <v>5</v>
      </c>
      <c r="F8" t="str">
        <f t="shared" si="0"/>
        <v>INSERT INTO SALA VALUES ( '7','Sala Deluxe','110', 'VIP','5')</v>
      </c>
    </row>
    <row r="9" spans="1:6" x14ac:dyDescent="0.25">
      <c r="A9">
        <v>8</v>
      </c>
      <c r="B9" t="s">
        <v>90</v>
      </c>
      <c r="C9">
        <v>85</v>
      </c>
      <c r="D9" t="s">
        <v>80</v>
      </c>
      <c r="E9">
        <v>6</v>
      </c>
      <c r="F9" t="str">
        <f t="shared" si="0"/>
        <v>INSERT INTO SALA VALUES ( '8','Sala 5','85', '2D','6')</v>
      </c>
    </row>
    <row r="10" spans="1:6" x14ac:dyDescent="0.25">
      <c r="A10">
        <v>9</v>
      </c>
      <c r="B10" t="s">
        <v>91</v>
      </c>
      <c r="C10">
        <v>60</v>
      </c>
      <c r="D10" t="s">
        <v>82</v>
      </c>
      <c r="E10">
        <v>7</v>
      </c>
      <c r="F10" t="str">
        <f t="shared" si="0"/>
        <v>INSERT INTO SALA VALUES ( '9','Sala 6','60', '3D','7')</v>
      </c>
    </row>
    <row r="11" spans="1:6" x14ac:dyDescent="0.25">
      <c r="A11">
        <v>10</v>
      </c>
      <c r="B11" t="s">
        <v>92</v>
      </c>
      <c r="C11">
        <v>130</v>
      </c>
      <c r="D11" t="s">
        <v>80</v>
      </c>
      <c r="E11">
        <v>8</v>
      </c>
      <c r="F11" t="str">
        <f t="shared" si="0"/>
        <v>INSERT INTO SALA VALUES ( '10','Sala 7','130', '2D','8')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EF11E-798B-4F5B-8B6A-EA1E2162566C}">
  <dimension ref="A1:D11"/>
  <sheetViews>
    <sheetView workbookViewId="0">
      <selection activeCell="D2" sqref="D2"/>
    </sheetView>
  </sheetViews>
  <sheetFormatPr baseColWidth="10" defaultRowHeight="15" x14ac:dyDescent="0.25"/>
  <cols>
    <col min="3" max="3" width="28.42578125" customWidth="1"/>
  </cols>
  <sheetData>
    <row r="1" spans="1:4" x14ac:dyDescent="0.25">
      <c r="A1" t="s">
        <v>93</v>
      </c>
      <c r="B1" t="s">
        <v>1</v>
      </c>
      <c r="C1" t="s">
        <v>94</v>
      </c>
    </row>
    <row r="2" spans="1:4" x14ac:dyDescent="0.25">
      <c r="A2">
        <v>1</v>
      </c>
      <c r="B2" t="s">
        <v>95</v>
      </c>
      <c r="C2" t="s">
        <v>96</v>
      </c>
      <c r="D2" t="str">
        <f>"INSERT INTO TIPO_FUNCION VALUES ('"&amp;A2&amp;"', '"&amp;B2&amp;"','"&amp;C2&amp;"')"</f>
        <v>INSERT INTO TIPO_FUNCION VALUES ('1', 'Matiné','Función temprano')</v>
      </c>
    </row>
    <row r="3" spans="1:4" x14ac:dyDescent="0.25">
      <c r="A3">
        <v>2</v>
      </c>
      <c r="B3" t="s">
        <v>97</v>
      </c>
      <c r="C3" t="s">
        <v>98</v>
      </c>
      <c r="D3" t="str">
        <f t="shared" ref="D3:D11" si="0">"INSERT INTO TIPO_FUNCION VALUES ('"&amp;A3&amp;"', '"&amp;B3&amp;"','"&amp;C3&amp;"')"</f>
        <v>INSERT INTO TIPO_FUNCION VALUES ('2', 'Noche','Función de última hora')</v>
      </c>
    </row>
    <row r="4" spans="1:4" x14ac:dyDescent="0.25">
      <c r="A4">
        <v>3</v>
      </c>
      <c r="B4" t="s">
        <v>99</v>
      </c>
      <c r="C4" t="s">
        <v>100</v>
      </c>
      <c r="D4" t="str">
        <f t="shared" si="0"/>
        <v>INSERT INTO TIPO_FUNCION VALUES ('3', 'Tarde','Función de la tarde')</v>
      </c>
    </row>
    <row r="5" spans="1:4" x14ac:dyDescent="0.25">
      <c r="A5">
        <v>4</v>
      </c>
      <c r="B5" t="s">
        <v>101</v>
      </c>
      <c r="C5" t="s">
        <v>102</v>
      </c>
      <c r="D5" t="str">
        <f t="shared" si="0"/>
        <v>INSERT INTO TIPO_FUNCION VALUES ('4', 'Premier','Estreno especial')</v>
      </c>
    </row>
    <row r="6" spans="1:4" x14ac:dyDescent="0.25">
      <c r="A6">
        <v>5</v>
      </c>
      <c r="B6" t="s">
        <v>103</v>
      </c>
      <c r="C6" t="s">
        <v>104</v>
      </c>
      <c r="D6" t="str">
        <f t="shared" si="0"/>
        <v>INSERT INTO TIPO_FUNCION VALUES ('5', 'Función VIP','Función exclusiva premium')</v>
      </c>
    </row>
    <row r="7" spans="1:4" x14ac:dyDescent="0.25">
      <c r="A7">
        <v>6</v>
      </c>
      <c r="B7" t="s">
        <v>105</v>
      </c>
      <c r="C7" t="s">
        <v>106</v>
      </c>
      <c r="D7" t="str">
        <f t="shared" si="0"/>
        <v>INSERT INTO TIPO_FUNCION VALUES ('6', 'Función 3D','Proyección en 3D')</v>
      </c>
    </row>
    <row r="8" spans="1:4" x14ac:dyDescent="0.25">
      <c r="A8">
        <v>7</v>
      </c>
      <c r="B8" t="s">
        <v>107</v>
      </c>
      <c r="C8" t="s">
        <v>108</v>
      </c>
      <c r="D8" t="str">
        <f t="shared" si="0"/>
        <v>INSERT INTO TIPO_FUNCION VALUES ('7', 'Función IMAX','Proyección en formato IMAX')</v>
      </c>
    </row>
    <row r="9" spans="1:4" x14ac:dyDescent="0.25">
      <c r="A9">
        <v>8</v>
      </c>
      <c r="B9" t="s">
        <v>109</v>
      </c>
      <c r="C9" t="s">
        <v>110</v>
      </c>
      <c r="D9" t="str">
        <f t="shared" si="0"/>
        <v>INSERT INTO TIPO_FUNCION VALUES ('8', 'Función Doblada','Película doblada')</v>
      </c>
    </row>
    <row r="10" spans="1:4" x14ac:dyDescent="0.25">
      <c r="A10">
        <v>9</v>
      </c>
      <c r="B10" t="s">
        <v>111</v>
      </c>
      <c r="C10" t="s">
        <v>112</v>
      </c>
      <c r="D10" t="str">
        <f t="shared" si="0"/>
        <v>INSERT INTO TIPO_FUNCION VALUES ('9', 'Función Subtitulada','Película subtitulada')</v>
      </c>
    </row>
    <row r="11" spans="1:4" x14ac:dyDescent="0.25">
      <c r="A11">
        <v>10</v>
      </c>
      <c r="B11" t="s">
        <v>113</v>
      </c>
      <c r="C11" t="s">
        <v>114</v>
      </c>
      <c r="D11" t="str">
        <f t="shared" si="0"/>
        <v>INSERT INTO TIPO_FUNCION VALUES ('10', 'Maratón','Varias funciones seguidas')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89F4C-61EC-481D-8BD0-210F802C77AB}">
  <dimension ref="A1:D11"/>
  <sheetViews>
    <sheetView workbookViewId="0">
      <selection activeCell="D2" sqref="D2"/>
    </sheetView>
  </sheetViews>
  <sheetFormatPr baseColWidth="10" defaultRowHeight="15" x14ac:dyDescent="0.25"/>
  <cols>
    <col min="2" max="2" width="22.7109375" customWidth="1"/>
    <col min="3" max="3" width="29.85546875" customWidth="1"/>
  </cols>
  <sheetData>
    <row r="1" spans="1:4" x14ac:dyDescent="0.25">
      <c r="A1" t="s">
        <v>115</v>
      </c>
      <c r="B1" t="s">
        <v>1</v>
      </c>
      <c r="C1" t="s">
        <v>94</v>
      </c>
    </row>
    <row r="2" spans="1:4" x14ac:dyDescent="0.25">
      <c r="A2">
        <v>1</v>
      </c>
      <c r="B2" t="s">
        <v>116</v>
      </c>
      <c r="C2" t="s">
        <v>117</v>
      </c>
      <c r="D2" t="str">
        <f>"INSERT INTO TIPO_ESPECTACULO VALUES ('"&amp;A2&amp;"', '"&amp;B2&amp;"','"&amp;C2&amp;"')"</f>
        <v>INSERT INTO TIPO_ESPECTACULO VALUES ('1', 'Show Musical','Espectáculo con música en vivo')</v>
      </c>
    </row>
    <row r="3" spans="1:4" x14ac:dyDescent="0.25">
      <c r="A3">
        <v>2</v>
      </c>
      <c r="B3" t="s">
        <v>118</v>
      </c>
      <c r="C3" t="s">
        <v>119</v>
      </c>
      <c r="D3" t="str">
        <f t="shared" ref="D3:D11" si="0">"INSERT INTO TIPO_ESPECTACULO VALUES ('"&amp;A3&amp;"', '"&amp;B3&amp;"','"&amp;C3&amp;"')"</f>
        <v>INSERT INTO TIPO_ESPECTACULO VALUES ('2', 'Teatro','Obra teatral profesional')</v>
      </c>
    </row>
    <row r="4" spans="1:4" x14ac:dyDescent="0.25">
      <c r="A4">
        <v>3</v>
      </c>
      <c r="B4" t="s">
        <v>120</v>
      </c>
      <c r="C4" t="s">
        <v>121</v>
      </c>
      <c r="D4" t="str">
        <f t="shared" si="0"/>
        <v>INSERT INTO TIPO_ESPECTACULO VALUES ('3', 'Stand-Up Comedy','Presentación de comedia en vivo')</v>
      </c>
    </row>
    <row r="5" spans="1:4" x14ac:dyDescent="0.25">
      <c r="A5">
        <v>4</v>
      </c>
      <c r="B5" t="s">
        <v>122</v>
      </c>
      <c r="C5" t="s">
        <v>123</v>
      </c>
      <c r="D5" t="str">
        <f t="shared" si="0"/>
        <v>INSERT INTO TIPO_ESPECTACULO VALUES ('4', 'Danza','Espectáculo de baile')</v>
      </c>
    </row>
    <row r="6" spans="1:4" x14ac:dyDescent="0.25">
      <c r="A6">
        <v>5</v>
      </c>
      <c r="B6" t="s">
        <v>124</v>
      </c>
      <c r="C6" t="s">
        <v>125</v>
      </c>
      <c r="D6" t="str">
        <f t="shared" si="0"/>
        <v>INSERT INTO TIPO_ESPECTACULO VALUES ('5', 'Magia','Show de ilusionismo')</v>
      </c>
    </row>
    <row r="7" spans="1:4" x14ac:dyDescent="0.25">
      <c r="A7">
        <v>6</v>
      </c>
      <c r="B7" t="s">
        <v>126</v>
      </c>
      <c r="C7" t="s">
        <v>127</v>
      </c>
      <c r="D7" t="str">
        <f t="shared" si="0"/>
        <v>INSERT INTO TIPO_ESPECTACULO VALUES ('6', 'Circo','Actuaciones circenses')</v>
      </c>
    </row>
    <row r="8" spans="1:4" x14ac:dyDescent="0.25">
      <c r="A8">
        <v>7</v>
      </c>
      <c r="B8" t="s">
        <v>128</v>
      </c>
      <c r="C8" t="s">
        <v>129</v>
      </c>
      <c r="D8" t="str">
        <f t="shared" si="0"/>
        <v>INSERT INTO TIPO_ESPECTACULO VALUES ('7', 'Concierto Acústico','Música acústica en vivo')</v>
      </c>
    </row>
    <row r="9" spans="1:4" x14ac:dyDescent="0.25">
      <c r="A9">
        <v>8</v>
      </c>
      <c r="B9" t="s">
        <v>130</v>
      </c>
      <c r="C9" t="s">
        <v>131</v>
      </c>
      <c r="D9" t="str">
        <f t="shared" si="0"/>
        <v>INSERT INTO TIPO_ESPECTACULO VALUES ('8', 'Show Infantil','Espectáculo orientado a niños')</v>
      </c>
    </row>
    <row r="10" spans="1:4" x14ac:dyDescent="0.25">
      <c r="A10">
        <v>9</v>
      </c>
      <c r="B10" t="s">
        <v>132</v>
      </c>
      <c r="C10" t="s">
        <v>133</v>
      </c>
      <c r="D10" t="str">
        <f t="shared" si="0"/>
        <v>INSERT INTO TIPO_ESPECTACULO VALUES ('9', 'Opera','Presentación operística')</v>
      </c>
    </row>
    <row r="11" spans="1:4" x14ac:dyDescent="0.25">
      <c r="A11">
        <v>10</v>
      </c>
      <c r="B11" t="s">
        <v>134</v>
      </c>
      <c r="C11" t="s">
        <v>135</v>
      </c>
      <c r="D11" t="str">
        <f t="shared" si="0"/>
        <v>INSERT INTO TIPO_ESPECTACULO VALUES ('10', 'Performance Artístico','Arte escénico experimental')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32ADE-3A53-48CD-8412-8CC43BDC567D}">
  <dimension ref="A1:C11"/>
  <sheetViews>
    <sheetView workbookViewId="0">
      <selection activeCell="C2" sqref="C2:C11"/>
    </sheetView>
  </sheetViews>
  <sheetFormatPr baseColWidth="10" defaultRowHeight="15" x14ac:dyDescent="0.25"/>
  <sheetData>
    <row r="1" spans="1:3" x14ac:dyDescent="0.25">
      <c r="A1" t="s">
        <v>136</v>
      </c>
      <c r="B1" t="s">
        <v>1</v>
      </c>
    </row>
    <row r="2" spans="1:3" x14ac:dyDescent="0.25">
      <c r="A2">
        <v>1</v>
      </c>
      <c r="B2" t="s">
        <v>137</v>
      </c>
      <c r="C2" t="str">
        <f>"INSERT INTO ESPECIALIDAD VALUES ('"&amp;A2&amp;"', '"&amp;B2&amp;"')"</f>
        <v>INSERT INTO ESPECIALIDAD VALUES ('1', 'Actor')</v>
      </c>
    </row>
    <row r="3" spans="1:3" x14ac:dyDescent="0.25">
      <c r="A3">
        <v>2</v>
      </c>
      <c r="B3" t="s">
        <v>138</v>
      </c>
      <c r="C3" t="str">
        <f t="shared" ref="C3:C11" si="0">"INSERT INTO ESPECIALIDAD VALUES ('"&amp;A3&amp;"', '"&amp;B3&amp;"')"</f>
        <v>INSERT INTO ESPECIALIDAD VALUES ('2', 'Cantante')</v>
      </c>
    </row>
    <row r="4" spans="1:3" x14ac:dyDescent="0.25">
      <c r="A4">
        <v>3</v>
      </c>
      <c r="B4" t="s">
        <v>139</v>
      </c>
      <c r="C4" t="str">
        <f t="shared" si="0"/>
        <v>INSERT INTO ESPECIALIDAD VALUES ('3', 'Bailarín')</v>
      </c>
    </row>
    <row r="5" spans="1:3" x14ac:dyDescent="0.25">
      <c r="A5">
        <v>4</v>
      </c>
      <c r="B5" t="s">
        <v>140</v>
      </c>
      <c r="C5" t="str">
        <f t="shared" si="0"/>
        <v>INSERT INTO ESPECIALIDAD VALUES ('4', 'Director')</v>
      </c>
    </row>
    <row r="6" spans="1:3" x14ac:dyDescent="0.25">
      <c r="A6">
        <v>5</v>
      </c>
      <c r="B6" t="s">
        <v>141</v>
      </c>
      <c r="C6" t="str">
        <f t="shared" si="0"/>
        <v>INSERT INTO ESPECIALIDAD VALUES ('5', 'Productor')</v>
      </c>
    </row>
    <row r="7" spans="1:3" x14ac:dyDescent="0.25">
      <c r="A7">
        <v>6</v>
      </c>
      <c r="B7" t="s">
        <v>142</v>
      </c>
      <c r="C7" t="str">
        <f t="shared" si="0"/>
        <v>INSERT INTO ESPECIALIDAD VALUES ('6', 'Guionista')</v>
      </c>
    </row>
    <row r="8" spans="1:3" x14ac:dyDescent="0.25">
      <c r="A8">
        <v>7</v>
      </c>
      <c r="B8" t="s">
        <v>143</v>
      </c>
      <c r="C8" t="str">
        <f t="shared" si="0"/>
        <v>INSERT INTO ESPECIALIDAD VALUES ('7', 'Comediante')</v>
      </c>
    </row>
    <row r="9" spans="1:3" x14ac:dyDescent="0.25">
      <c r="A9">
        <v>8</v>
      </c>
      <c r="B9" t="s">
        <v>144</v>
      </c>
      <c r="C9" t="str">
        <f t="shared" si="0"/>
        <v>INSERT INTO ESPECIALIDAD VALUES ('8', 'Ilusionista')</v>
      </c>
    </row>
    <row r="10" spans="1:3" x14ac:dyDescent="0.25">
      <c r="A10">
        <v>9</v>
      </c>
      <c r="B10" t="s">
        <v>145</v>
      </c>
      <c r="C10" t="str">
        <f t="shared" si="0"/>
        <v>INSERT INTO ESPECIALIDAD VALUES ('9', 'Acróbata')</v>
      </c>
    </row>
    <row r="11" spans="1:3" x14ac:dyDescent="0.25">
      <c r="A11">
        <v>10</v>
      </c>
      <c r="B11" t="s">
        <v>146</v>
      </c>
      <c r="C11" t="str">
        <f t="shared" si="0"/>
        <v>INSERT INTO ESPECIALIDAD VALUES ('10', 'Presentador')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19915-A184-4413-BFE2-BABAF9E0CD9B}">
  <dimension ref="A1:E11"/>
  <sheetViews>
    <sheetView workbookViewId="0">
      <selection activeCell="E2" sqref="E2"/>
    </sheetView>
  </sheetViews>
  <sheetFormatPr baseColWidth="10" defaultRowHeight="15" x14ac:dyDescent="0.25"/>
  <sheetData>
    <row r="1" spans="1:5" x14ac:dyDescent="0.25">
      <c r="A1" t="s">
        <v>147</v>
      </c>
      <c r="B1" t="s">
        <v>1</v>
      </c>
      <c r="C1" t="s">
        <v>148</v>
      </c>
      <c r="D1" t="s">
        <v>149</v>
      </c>
    </row>
    <row r="2" spans="1:5" x14ac:dyDescent="0.25">
      <c r="A2">
        <v>1</v>
      </c>
      <c r="B2" t="s">
        <v>150</v>
      </c>
      <c r="C2" t="s">
        <v>151</v>
      </c>
      <c r="D2">
        <v>1</v>
      </c>
      <c r="E2" t="str">
        <f>"INSERT INTO ARTISTA VALUES ('"&amp;A2&amp;"','"&amp;B2&amp;"', '"&amp;C2&amp;"','"&amp;D2&amp;"')"</f>
        <v>INSERT INTO ARTISTA VALUES ('1','Carlos Ruiz', 'Colombiano','1')</v>
      </c>
    </row>
    <row r="3" spans="1:5" x14ac:dyDescent="0.25">
      <c r="A3">
        <v>2</v>
      </c>
      <c r="B3" t="s">
        <v>152</v>
      </c>
      <c r="C3" t="s">
        <v>153</v>
      </c>
      <c r="D3">
        <v>2</v>
      </c>
      <c r="E3" t="str">
        <f t="shared" ref="E3:E11" si="0">"INSERT INTO ARTISTA VALUES ('"&amp;A3&amp;"','"&amp;B3&amp;"', '"&amp;C3&amp;"','"&amp;D3&amp;"')"</f>
        <v>INSERT INTO ARTISTA VALUES ('2','Ana Torres', 'Mexicana','2')</v>
      </c>
    </row>
    <row r="4" spans="1:5" x14ac:dyDescent="0.25">
      <c r="A4">
        <v>3</v>
      </c>
      <c r="B4" t="s">
        <v>154</v>
      </c>
      <c r="C4" t="s">
        <v>155</v>
      </c>
      <c r="D4">
        <v>3</v>
      </c>
      <c r="E4" t="str">
        <f t="shared" si="0"/>
        <v>INSERT INTO ARTISTA VALUES ('3','Luis Vega', 'Argentino','3')</v>
      </c>
    </row>
    <row r="5" spans="1:5" x14ac:dyDescent="0.25">
      <c r="A5">
        <v>4</v>
      </c>
      <c r="B5" t="s">
        <v>156</v>
      </c>
      <c r="C5" t="s">
        <v>157</v>
      </c>
      <c r="D5">
        <v>4</v>
      </c>
      <c r="E5" t="str">
        <f t="shared" si="0"/>
        <v>INSERT INTO ARTISTA VALUES ('4','María López', 'Chilena','4')</v>
      </c>
    </row>
    <row r="6" spans="1:5" x14ac:dyDescent="0.25">
      <c r="A6">
        <v>5</v>
      </c>
      <c r="B6" t="s">
        <v>158</v>
      </c>
      <c r="C6" t="s">
        <v>159</v>
      </c>
      <c r="D6">
        <v>5</v>
      </c>
      <c r="E6" t="str">
        <f t="shared" si="0"/>
        <v>INSERT INTO ARTISTA VALUES ('5','Diego Herrera', 'Peruano','5')</v>
      </c>
    </row>
    <row r="7" spans="1:5" x14ac:dyDescent="0.25">
      <c r="A7">
        <v>6</v>
      </c>
      <c r="B7" t="s">
        <v>160</v>
      </c>
      <c r="C7" t="s">
        <v>161</v>
      </c>
      <c r="D7">
        <v>6</v>
      </c>
      <c r="E7" t="str">
        <f t="shared" si="0"/>
        <v>INSERT INTO ARTISTA VALUES ('6','Sofía Mendes', 'Brasileña','6')</v>
      </c>
    </row>
    <row r="8" spans="1:5" x14ac:dyDescent="0.25">
      <c r="A8">
        <v>7</v>
      </c>
      <c r="B8" t="s">
        <v>162</v>
      </c>
      <c r="C8" t="s">
        <v>151</v>
      </c>
      <c r="D8">
        <v>7</v>
      </c>
      <c r="E8" t="str">
        <f t="shared" si="0"/>
        <v>INSERT INTO ARTISTA VALUES ('7','Javier Castillo', 'Colombiano','7')</v>
      </c>
    </row>
    <row r="9" spans="1:5" x14ac:dyDescent="0.25">
      <c r="A9">
        <v>8</v>
      </c>
      <c r="B9" t="s">
        <v>163</v>
      </c>
      <c r="C9" t="s">
        <v>164</v>
      </c>
      <c r="D9">
        <v>8</v>
      </c>
      <c r="E9" t="str">
        <f t="shared" si="0"/>
        <v>INSERT INTO ARTISTA VALUES ('8','Valentina Cruz', 'Uruguaya','8')</v>
      </c>
    </row>
    <row r="10" spans="1:5" x14ac:dyDescent="0.25">
      <c r="A10">
        <v>9</v>
      </c>
      <c r="B10" t="s">
        <v>165</v>
      </c>
      <c r="C10" t="s">
        <v>166</v>
      </c>
      <c r="D10">
        <v>9</v>
      </c>
      <c r="E10" t="str">
        <f t="shared" si="0"/>
        <v>INSERT INTO ARTISTA VALUES ('9','Pedro Salas', 'Venezolano','9')</v>
      </c>
    </row>
    <row r="11" spans="1:5" x14ac:dyDescent="0.25">
      <c r="A11">
        <v>10</v>
      </c>
      <c r="B11" t="s">
        <v>167</v>
      </c>
      <c r="C11" t="s">
        <v>168</v>
      </c>
      <c r="D11">
        <v>10</v>
      </c>
      <c r="E11" t="str">
        <f t="shared" si="0"/>
        <v>INSERT INTO ARTISTA VALUES ('10','Laura Medina', 'Española','10')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6E0CD-647D-467B-87D8-716D2861378F}">
  <dimension ref="A1:D11"/>
  <sheetViews>
    <sheetView workbookViewId="0">
      <selection activeCell="D2" sqref="D2"/>
    </sheetView>
  </sheetViews>
  <sheetFormatPr baseColWidth="10" defaultRowHeight="15" x14ac:dyDescent="0.25"/>
  <cols>
    <col min="2" max="2" width="14.42578125" bestFit="1" customWidth="1"/>
    <col min="3" max="3" width="15.5703125" bestFit="1" customWidth="1"/>
  </cols>
  <sheetData>
    <row r="1" spans="1:4" x14ac:dyDescent="0.25">
      <c r="A1" t="s">
        <v>169</v>
      </c>
      <c r="B1" t="s">
        <v>1</v>
      </c>
      <c r="C1" t="s">
        <v>13</v>
      </c>
    </row>
    <row r="2" spans="1:4" x14ac:dyDescent="0.25">
      <c r="A2">
        <v>1</v>
      </c>
      <c r="B2" t="s">
        <v>170</v>
      </c>
      <c r="C2" t="s">
        <v>171</v>
      </c>
      <c r="D2" t="str">
        <f>"INSERT INTO PRODUCTOR  VALUES ('"&amp;A2&amp;"', '"&amp;B2&amp;"','"&amp;C2&amp;"')"</f>
        <v>INSERT INTO PRODUCTOR  VALUES ('1', 'Juan Pérez','jp@correo.com')</v>
      </c>
    </row>
    <row r="3" spans="1:4" x14ac:dyDescent="0.25">
      <c r="A3">
        <v>2</v>
      </c>
      <c r="B3" t="s">
        <v>172</v>
      </c>
      <c r="C3" t="s">
        <v>173</v>
      </c>
      <c r="D3" t="str">
        <f t="shared" ref="D3:D11" si="0">"INSERT INTO PRODUCTOR  VALUES ('"&amp;A3&amp;"', '"&amp;B3&amp;"','"&amp;C3&amp;"')"</f>
        <v>INSERT INTO PRODUCTOR  VALUES ('2', 'Lucía Gómez','lg@correo.com')</v>
      </c>
    </row>
    <row r="4" spans="1:4" x14ac:dyDescent="0.25">
      <c r="A4">
        <v>3</v>
      </c>
      <c r="B4" t="s">
        <v>174</v>
      </c>
      <c r="C4" t="s">
        <v>175</v>
      </c>
      <c r="D4" t="str">
        <f t="shared" si="0"/>
        <v>INSERT INTO PRODUCTOR  VALUES ('3', 'Roberto Díaz','rd@correo.com')</v>
      </c>
    </row>
    <row r="5" spans="1:4" x14ac:dyDescent="0.25">
      <c r="A5">
        <v>4</v>
      </c>
      <c r="B5" t="s">
        <v>176</v>
      </c>
      <c r="C5" t="s">
        <v>177</v>
      </c>
      <c r="D5" t="str">
        <f t="shared" si="0"/>
        <v>INSERT INTO PRODUCTOR  VALUES ('4', 'Marta Sánchez','ms@correo.com')</v>
      </c>
    </row>
    <row r="6" spans="1:4" x14ac:dyDescent="0.25">
      <c r="A6">
        <v>5</v>
      </c>
      <c r="B6" t="s">
        <v>178</v>
      </c>
      <c r="C6" t="s">
        <v>179</v>
      </c>
      <c r="D6" t="str">
        <f t="shared" si="0"/>
        <v>INSERT INTO PRODUCTOR  VALUES ('5', 'Ernesto Rivas','er@correo.com')</v>
      </c>
    </row>
    <row r="7" spans="1:4" x14ac:dyDescent="0.25">
      <c r="A7">
        <v>6</v>
      </c>
      <c r="B7" t="s">
        <v>180</v>
      </c>
      <c r="C7" t="s">
        <v>181</v>
      </c>
      <c r="D7" t="str">
        <f t="shared" si="0"/>
        <v>INSERT INTO PRODUCTOR  VALUES ('6', 'Carolina Núñez','cn@correo.com')</v>
      </c>
    </row>
    <row r="8" spans="1:4" x14ac:dyDescent="0.25">
      <c r="A8">
        <v>7</v>
      </c>
      <c r="B8" t="s">
        <v>182</v>
      </c>
      <c r="C8" t="s">
        <v>183</v>
      </c>
      <c r="D8" t="str">
        <f t="shared" si="0"/>
        <v>INSERT INTO PRODUCTOR  VALUES ('7', 'Felipe Romero','fr@correo.com')</v>
      </c>
    </row>
    <row r="9" spans="1:4" x14ac:dyDescent="0.25">
      <c r="A9">
        <v>8</v>
      </c>
      <c r="B9" t="s">
        <v>184</v>
      </c>
      <c r="C9" t="s">
        <v>185</v>
      </c>
      <c r="D9" t="str">
        <f t="shared" si="0"/>
        <v>INSERT INTO PRODUCTOR  VALUES ('8', 'Daniela Cortés','dc@correo.com')</v>
      </c>
    </row>
    <row r="10" spans="1:4" x14ac:dyDescent="0.25">
      <c r="A10">
        <v>9</v>
      </c>
      <c r="B10" t="s">
        <v>186</v>
      </c>
      <c r="C10" t="s">
        <v>187</v>
      </c>
      <c r="D10" t="str">
        <f t="shared" si="0"/>
        <v>INSERT INTO PRODUCTOR  VALUES ('9', 'Andrés Molina','am@correo.com')</v>
      </c>
    </row>
    <row r="11" spans="1:4" x14ac:dyDescent="0.25">
      <c r="A11">
        <v>10</v>
      </c>
      <c r="B11" t="s">
        <v>188</v>
      </c>
      <c r="C11" t="s">
        <v>189</v>
      </c>
      <c r="D11" t="str">
        <f t="shared" si="0"/>
        <v>INSERT INTO PRODUCTOR  VALUES ('10', 'Camila Duarte','cd@correo.com')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12F17-D1F2-4D65-B83B-8CF641D2B092}">
  <dimension ref="A1:E11"/>
  <sheetViews>
    <sheetView workbookViewId="0">
      <selection activeCell="E2" sqref="E2"/>
    </sheetView>
  </sheetViews>
  <sheetFormatPr baseColWidth="10" defaultRowHeight="15" x14ac:dyDescent="0.25"/>
  <sheetData>
    <row r="1" spans="1:5" x14ac:dyDescent="0.25">
      <c r="A1" t="s">
        <v>190</v>
      </c>
      <c r="B1" t="s">
        <v>1</v>
      </c>
      <c r="C1" t="s">
        <v>35</v>
      </c>
      <c r="D1" t="s">
        <v>191</v>
      </c>
    </row>
    <row r="2" spans="1:5" x14ac:dyDescent="0.25">
      <c r="A2">
        <v>1</v>
      </c>
      <c r="B2" t="s">
        <v>192</v>
      </c>
      <c r="C2" t="s">
        <v>193</v>
      </c>
      <c r="D2">
        <v>1</v>
      </c>
      <c r="E2" t="str">
        <f>"INSERT INTO ESPECTACULO VALUES ('"&amp;A2&amp;"','"&amp;B2&amp;"','"&amp;C2&amp;"','"&amp;D2&amp;"')"</f>
        <v>INSERT INTO ESPECTACULO VALUES ('1','Show Latino','90.5','1')</v>
      </c>
    </row>
    <row r="3" spans="1:5" x14ac:dyDescent="0.25">
      <c r="A3">
        <v>2</v>
      </c>
      <c r="B3" t="s">
        <v>194</v>
      </c>
      <c r="C3" t="s">
        <v>195</v>
      </c>
      <c r="D3">
        <v>2</v>
      </c>
      <c r="E3" t="str">
        <f t="shared" ref="E3:E11" si="0">"INSERT INTO ESPECTACULO VALUES ('"&amp;A3&amp;"','"&amp;B3&amp;"','"&amp;C3&amp;"','"&amp;D3&amp;"')"</f>
        <v>INSERT INTO ESPECTACULO VALUES ('2','Obra Romeo y Julieta','120.0','2')</v>
      </c>
    </row>
    <row r="4" spans="1:5" x14ac:dyDescent="0.25">
      <c r="A4">
        <v>3</v>
      </c>
      <c r="B4" t="s">
        <v>196</v>
      </c>
      <c r="C4" t="s">
        <v>197</v>
      </c>
      <c r="D4">
        <v>3</v>
      </c>
      <c r="E4" t="str">
        <f t="shared" si="0"/>
        <v>INSERT INTO ESPECTACULO VALUES ('3','Noche de Stand-Up','75.0','3')</v>
      </c>
    </row>
    <row r="5" spans="1:5" x14ac:dyDescent="0.25">
      <c r="A5">
        <v>4</v>
      </c>
      <c r="B5" t="s">
        <v>198</v>
      </c>
      <c r="C5" t="s">
        <v>199</v>
      </c>
      <c r="D5">
        <v>4</v>
      </c>
      <c r="E5" t="str">
        <f t="shared" si="0"/>
        <v>INSERT INTO ESPECTACULO VALUES ('4','Gala de Danza Moderna','95.0','4')</v>
      </c>
    </row>
    <row r="6" spans="1:5" x14ac:dyDescent="0.25">
      <c r="A6">
        <v>5</v>
      </c>
      <c r="B6" t="s">
        <v>200</v>
      </c>
      <c r="C6" t="s">
        <v>201</v>
      </c>
      <c r="D6">
        <v>5</v>
      </c>
      <c r="E6" t="str">
        <f t="shared" si="0"/>
        <v>INSERT INTO ESPECTACULO VALUES ('5','Magia Extrema','60.0','5')</v>
      </c>
    </row>
    <row r="7" spans="1:5" x14ac:dyDescent="0.25">
      <c r="A7">
        <v>6</v>
      </c>
      <c r="B7" t="s">
        <v>202</v>
      </c>
      <c r="C7" t="s">
        <v>203</v>
      </c>
      <c r="D7">
        <v>6</v>
      </c>
      <c r="E7" t="str">
        <f t="shared" si="0"/>
        <v>INSERT INTO ESPECTACULO VALUES ('6','Circo Fantasía','110.0','6')</v>
      </c>
    </row>
    <row r="8" spans="1:5" x14ac:dyDescent="0.25">
      <c r="A8">
        <v>7</v>
      </c>
      <c r="B8" t="s">
        <v>128</v>
      </c>
      <c r="C8" t="s">
        <v>204</v>
      </c>
      <c r="D8">
        <v>7</v>
      </c>
      <c r="E8" t="str">
        <f t="shared" si="0"/>
        <v>INSERT INTO ESPECTACULO VALUES ('7','Concierto Acústico','85.0','7')</v>
      </c>
    </row>
    <row r="9" spans="1:5" x14ac:dyDescent="0.25">
      <c r="A9">
        <v>8</v>
      </c>
      <c r="B9" t="s">
        <v>205</v>
      </c>
      <c r="C9" t="s">
        <v>206</v>
      </c>
      <c r="D9">
        <v>8</v>
      </c>
      <c r="E9" t="str">
        <f t="shared" si="0"/>
        <v>INSERT INTO ESPECTACULO VALUES ('8','Show Infantil Mágico','70.0','8')</v>
      </c>
    </row>
    <row r="10" spans="1:5" x14ac:dyDescent="0.25">
      <c r="A10">
        <v>9</v>
      </c>
      <c r="B10" t="s">
        <v>207</v>
      </c>
      <c r="C10" t="s">
        <v>208</v>
      </c>
      <c r="D10">
        <v>9</v>
      </c>
      <c r="E10" t="str">
        <f t="shared" si="0"/>
        <v>INSERT INTO ESPECTACULO VALUES ('9','Ópera Nocturna','150.0','9')</v>
      </c>
    </row>
    <row r="11" spans="1:5" x14ac:dyDescent="0.25">
      <c r="A11">
        <v>10</v>
      </c>
      <c r="B11" t="s">
        <v>209</v>
      </c>
      <c r="C11" t="s">
        <v>210</v>
      </c>
      <c r="D11">
        <v>10</v>
      </c>
      <c r="E11" t="str">
        <f t="shared" si="0"/>
        <v>INSERT INTO ESPECTACULO VALUES ('10','Arte Experimental Vivo','65.0','10')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5009B-5603-4796-A57C-1272928E251D}">
  <dimension ref="A1:C11"/>
  <sheetViews>
    <sheetView workbookViewId="0">
      <selection activeCell="C2" sqref="C2"/>
    </sheetView>
  </sheetViews>
  <sheetFormatPr baseColWidth="10" defaultRowHeight="15" x14ac:dyDescent="0.25"/>
  <sheetData>
    <row r="1" spans="1:3" x14ac:dyDescent="0.25">
      <c r="A1" t="s">
        <v>211</v>
      </c>
      <c r="B1" t="s">
        <v>212</v>
      </c>
    </row>
    <row r="2" spans="1:3" x14ac:dyDescent="0.25">
      <c r="A2">
        <v>1</v>
      </c>
      <c r="B2">
        <v>1</v>
      </c>
      <c r="C2" t="str">
        <f>"INSERT INTO ARTISTA_ESPECTACULO  VALUES ( '"&amp;A2&amp;"','"&amp;B2&amp;"')"</f>
        <v>INSERT INTO ARTISTA_ESPECTACULO  VALUES ( '1','1')</v>
      </c>
    </row>
    <row r="3" spans="1:3" x14ac:dyDescent="0.25">
      <c r="A3">
        <v>2</v>
      </c>
      <c r="B3">
        <v>1</v>
      </c>
      <c r="C3" t="str">
        <f t="shared" ref="C3:C11" si="0">"INSERT INTO ARTISTA_ESPECTACULO  VALUES ( '"&amp;A3&amp;"','"&amp;B3&amp;"')"</f>
        <v>INSERT INTO ARTISTA_ESPECTACULO  VALUES ( '2','1')</v>
      </c>
    </row>
    <row r="4" spans="1:3" x14ac:dyDescent="0.25">
      <c r="A4">
        <v>3</v>
      </c>
      <c r="B4">
        <v>2</v>
      </c>
      <c r="C4" t="str">
        <f t="shared" si="0"/>
        <v>INSERT INTO ARTISTA_ESPECTACULO  VALUES ( '3','2')</v>
      </c>
    </row>
    <row r="5" spans="1:3" x14ac:dyDescent="0.25">
      <c r="A5">
        <v>4</v>
      </c>
      <c r="B5">
        <v>3</v>
      </c>
      <c r="C5" t="str">
        <f t="shared" si="0"/>
        <v>INSERT INTO ARTISTA_ESPECTACULO  VALUES ( '4','3')</v>
      </c>
    </row>
    <row r="6" spans="1:3" x14ac:dyDescent="0.25">
      <c r="A6">
        <v>5</v>
      </c>
      <c r="B6">
        <v>3</v>
      </c>
      <c r="C6" t="str">
        <f t="shared" si="0"/>
        <v>INSERT INTO ARTISTA_ESPECTACULO  VALUES ( '5','3')</v>
      </c>
    </row>
    <row r="7" spans="1:3" x14ac:dyDescent="0.25">
      <c r="A7">
        <v>6</v>
      </c>
      <c r="B7">
        <v>4</v>
      </c>
      <c r="C7" t="str">
        <f t="shared" si="0"/>
        <v>INSERT INTO ARTISTA_ESPECTACULO  VALUES ( '6','4')</v>
      </c>
    </row>
    <row r="8" spans="1:3" x14ac:dyDescent="0.25">
      <c r="A8">
        <v>7</v>
      </c>
      <c r="B8">
        <v>5</v>
      </c>
      <c r="C8" t="str">
        <f t="shared" si="0"/>
        <v>INSERT INTO ARTISTA_ESPECTACULO  VALUES ( '7','5')</v>
      </c>
    </row>
    <row r="9" spans="1:3" x14ac:dyDescent="0.25">
      <c r="A9">
        <v>8</v>
      </c>
      <c r="B9">
        <v>6</v>
      </c>
      <c r="C9" t="str">
        <f t="shared" si="0"/>
        <v>INSERT INTO ARTISTA_ESPECTACULO  VALUES ( '8','6')</v>
      </c>
    </row>
    <row r="10" spans="1:3" x14ac:dyDescent="0.25">
      <c r="A10">
        <v>9</v>
      </c>
      <c r="B10">
        <v>7</v>
      </c>
      <c r="C10" t="str">
        <f t="shared" si="0"/>
        <v>INSERT INTO ARTISTA_ESPECTACULO  VALUES ( '9','7')</v>
      </c>
    </row>
    <row r="11" spans="1:3" x14ac:dyDescent="0.25">
      <c r="A11">
        <v>10</v>
      </c>
      <c r="B11">
        <v>8</v>
      </c>
      <c r="C11" t="str">
        <f t="shared" si="0"/>
        <v>INSERT INTO ARTISTA_ESPECTACULO  VALUES ( '10','8')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3F9F9-31AB-4651-969F-37AE532BE017}">
  <dimension ref="A1:C11"/>
  <sheetViews>
    <sheetView workbookViewId="0">
      <selection activeCell="C2" sqref="C2:C11"/>
    </sheetView>
  </sheetViews>
  <sheetFormatPr baseColWidth="10" defaultRowHeight="15" x14ac:dyDescent="0.25"/>
  <sheetData>
    <row r="1" spans="1:3" x14ac:dyDescent="0.25">
      <c r="A1" t="s">
        <v>213</v>
      </c>
      <c r="B1" t="s">
        <v>214</v>
      </c>
    </row>
    <row r="2" spans="1:3" x14ac:dyDescent="0.25">
      <c r="A2">
        <v>1</v>
      </c>
      <c r="B2">
        <v>1</v>
      </c>
      <c r="C2" t="str">
        <f>"INSERT INTO PRODUCTOR_ESPECTACULO  VALUES ( '"&amp;A2&amp;"','"&amp;B2&amp;"')"</f>
        <v>INSERT INTO PRODUCTOR_ESPECTACULO  VALUES ( '1','1')</v>
      </c>
    </row>
    <row r="3" spans="1:3" x14ac:dyDescent="0.25">
      <c r="A3">
        <v>2</v>
      </c>
      <c r="B3">
        <v>2</v>
      </c>
      <c r="C3" t="str">
        <f t="shared" ref="C3:C11" si="0">"INSERT INTO PRODUCTOR_ESPECTACULO  VALUES ( '"&amp;A3&amp;"','"&amp;B3&amp;"')"</f>
        <v>INSERT INTO PRODUCTOR_ESPECTACULO  VALUES ( '2','2')</v>
      </c>
    </row>
    <row r="4" spans="1:3" x14ac:dyDescent="0.25">
      <c r="A4">
        <v>3</v>
      </c>
      <c r="B4">
        <v>3</v>
      </c>
      <c r="C4" t="str">
        <f t="shared" si="0"/>
        <v>INSERT INTO PRODUCTOR_ESPECTACULO  VALUES ( '3','3')</v>
      </c>
    </row>
    <row r="5" spans="1:3" x14ac:dyDescent="0.25">
      <c r="A5">
        <v>4</v>
      </c>
      <c r="B5">
        <v>4</v>
      </c>
      <c r="C5" t="str">
        <f t="shared" si="0"/>
        <v>INSERT INTO PRODUCTOR_ESPECTACULO  VALUES ( '4','4')</v>
      </c>
    </row>
    <row r="6" spans="1:3" x14ac:dyDescent="0.25">
      <c r="A6">
        <v>5</v>
      </c>
      <c r="B6">
        <v>5</v>
      </c>
      <c r="C6" t="str">
        <f t="shared" si="0"/>
        <v>INSERT INTO PRODUCTOR_ESPECTACULO  VALUES ( '5','5')</v>
      </c>
    </row>
    <row r="7" spans="1:3" x14ac:dyDescent="0.25">
      <c r="A7">
        <v>6</v>
      </c>
      <c r="B7">
        <v>6</v>
      </c>
      <c r="C7" t="str">
        <f t="shared" si="0"/>
        <v>INSERT INTO PRODUCTOR_ESPECTACULO  VALUES ( '6','6')</v>
      </c>
    </row>
    <row r="8" spans="1:3" x14ac:dyDescent="0.25">
      <c r="A8">
        <v>7</v>
      </c>
      <c r="B8">
        <v>7</v>
      </c>
      <c r="C8" t="str">
        <f t="shared" si="0"/>
        <v>INSERT INTO PRODUCTOR_ESPECTACULO  VALUES ( '7','7')</v>
      </c>
    </row>
    <row r="9" spans="1:3" x14ac:dyDescent="0.25">
      <c r="A9">
        <v>8</v>
      </c>
      <c r="B9">
        <v>8</v>
      </c>
      <c r="C9" t="str">
        <f t="shared" si="0"/>
        <v>INSERT INTO PRODUCTOR_ESPECTACULO  VALUES ( '8','8')</v>
      </c>
    </row>
    <row r="10" spans="1:3" x14ac:dyDescent="0.25">
      <c r="A10">
        <v>9</v>
      </c>
      <c r="B10">
        <v>9</v>
      </c>
      <c r="C10" t="str">
        <f t="shared" si="0"/>
        <v>INSERT INTO PRODUCTOR_ESPECTACULO  VALUES ( '9','9')</v>
      </c>
    </row>
    <row r="11" spans="1:3" x14ac:dyDescent="0.25">
      <c r="A11">
        <v>10</v>
      </c>
      <c r="B11">
        <v>10</v>
      </c>
      <c r="C11" t="str">
        <f t="shared" si="0"/>
        <v>INSERT INTO PRODUCTOR_ESPECTACULO  VALUES ( '10','10')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50AEA-3633-4BFC-AE58-DD7BAFF11248}">
  <dimension ref="A1:H11"/>
  <sheetViews>
    <sheetView workbookViewId="0">
      <selection activeCell="H2" sqref="H2"/>
    </sheetView>
  </sheetViews>
  <sheetFormatPr baseColWidth="10" defaultRowHeight="15" x14ac:dyDescent="0.25"/>
  <sheetData>
    <row r="1" spans="1:8" x14ac:dyDescent="0.25">
      <c r="A1" t="s">
        <v>215</v>
      </c>
      <c r="B1" t="s">
        <v>216</v>
      </c>
      <c r="C1" t="s">
        <v>217</v>
      </c>
      <c r="D1" t="s">
        <v>214</v>
      </c>
      <c r="E1" t="s">
        <v>218</v>
      </c>
      <c r="F1" t="s">
        <v>219</v>
      </c>
      <c r="G1" t="s">
        <v>220</v>
      </c>
    </row>
    <row r="2" spans="1:8" x14ac:dyDescent="0.25">
      <c r="A2">
        <v>1</v>
      </c>
      <c r="B2" s="1">
        <v>45698</v>
      </c>
      <c r="C2" s="2">
        <v>0.58333333333333337</v>
      </c>
      <c r="D2">
        <v>1</v>
      </c>
      <c r="E2">
        <v>1</v>
      </c>
      <c r="F2">
        <v>1</v>
      </c>
      <c r="G2">
        <v>1</v>
      </c>
      <c r="H2" t="str">
        <f>"INSERT INTO FUNCION VALUES ('"&amp;A2&amp;"','"&amp;TEXT(B2,"YYYY-MM-DD")&amp;"','"&amp;TEXT(C2,"HH:MM")&amp;"','"&amp;D2&amp;"','"&amp;E2&amp;"', '"&amp;F2&amp;"','"&amp;G2&amp;"')"</f>
        <v>INSERT INTO FUNCION VALUES ('1','2025-02-10','14:00','1','1', '1','1')</v>
      </c>
    </row>
    <row r="3" spans="1:8" x14ac:dyDescent="0.25">
      <c r="A3">
        <v>2</v>
      </c>
      <c r="B3" s="1">
        <v>45698</v>
      </c>
      <c r="C3" s="2">
        <v>0.75</v>
      </c>
      <c r="D3">
        <v>2</v>
      </c>
      <c r="E3">
        <v>2</v>
      </c>
      <c r="F3">
        <v>2</v>
      </c>
      <c r="G3">
        <v>2</v>
      </c>
      <c r="H3" t="str">
        <f t="shared" ref="H3:H11" si="0">"INSERT INTO FUNCION VALUES ('"&amp;A3&amp;"','"&amp;TEXT(B3,"YYYY-MM-DD")&amp;"','"&amp;TEXT(C3,"HH:MM")&amp;"','"&amp;D3&amp;"','"&amp;E3&amp;"', '"&amp;F3&amp;"','"&amp;G3&amp;"')"</f>
        <v>INSERT INTO FUNCION VALUES ('2','2025-02-10','18:00','2','2', '2','2')</v>
      </c>
    </row>
    <row r="4" spans="1:8" x14ac:dyDescent="0.25">
      <c r="A4">
        <v>3</v>
      </c>
      <c r="B4" s="1">
        <v>45699</v>
      </c>
      <c r="C4" s="2">
        <v>0.66666666666666663</v>
      </c>
      <c r="D4">
        <v>3</v>
      </c>
      <c r="E4">
        <v>3</v>
      </c>
      <c r="F4">
        <v>3</v>
      </c>
      <c r="G4">
        <v>3</v>
      </c>
      <c r="H4" t="str">
        <f t="shared" si="0"/>
        <v>INSERT INTO FUNCION VALUES ('3','2025-02-11','16:00','3','3', '3','3')</v>
      </c>
    </row>
    <row r="5" spans="1:8" x14ac:dyDescent="0.25">
      <c r="A5">
        <v>4</v>
      </c>
      <c r="B5" s="1">
        <v>45699</v>
      </c>
      <c r="C5" s="2">
        <v>0.83333333333333337</v>
      </c>
      <c r="D5">
        <v>4</v>
      </c>
      <c r="E5">
        <v>4</v>
      </c>
      <c r="F5">
        <v>4</v>
      </c>
      <c r="G5">
        <v>4</v>
      </c>
      <c r="H5" t="str">
        <f t="shared" si="0"/>
        <v>INSERT INTO FUNCION VALUES ('4','2025-02-11','20:00','4','4', '4','4')</v>
      </c>
    </row>
    <row r="6" spans="1:8" x14ac:dyDescent="0.25">
      <c r="A6">
        <v>5</v>
      </c>
      <c r="B6" s="1">
        <v>45700</v>
      </c>
      <c r="C6" s="2">
        <v>0.64583333333333337</v>
      </c>
      <c r="D6">
        <v>5</v>
      </c>
      <c r="E6">
        <v>5</v>
      </c>
      <c r="F6">
        <v>5</v>
      </c>
      <c r="G6">
        <v>5</v>
      </c>
      <c r="H6" t="str">
        <f t="shared" si="0"/>
        <v>INSERT INTO FUNCION VALUES ('5','2025-02-12','15:30','5','5', '5','5')</v>
      </c>
    </row>
    <row r="7" spans="1:8" x14ac:dyDescent="0.25">
      <c r="A7">
        <v>6</v>
      </c>
      <c r="B7" s="1">
        <v>45700</v>
      </c>
      <c r="C7" s="2">
        <v>0.79166666666666663</v>
      </c>
      <c r="D7">
        <v>6</v>
      </c>
      <c r="E7">
        <v>6</v>
      </c>
      <c r="F7">
        <v>6</v>
      </c>
      <c r="G7">
        <v>6</v>
      </c>
      <c r="H7" t="str">
        <f t="shared" si="0"/>
        <v>INSERT INTO FUNCION VALUES ('6','2025-02-12','19:00','6','6', '6','6')</v>
      </c>
    </row>
    <row r="8" spans="1:8" x14ac:dyDescent="0.25">
      <c r="A8">
        <v>7</v>
      </c>
      <c r="B8" s="1">
        <v>45701</v>
      </c>
      <c r="C8" s="2">
        <v>0.54166666666666663</v>
      </c>
      <c r="D8">
        <v>7</v>
      </c>
      <c r="E8">
        <v>7</v>
      </c>
      <c r="F8">
        <v>7</v>
      </c>
      <c r="G8">
        <v>7</v>
      </c>
      <c r="H8" t="str">
        <f t="shared" si="0"/>
        <v>INSERT INTO FUNCION VALUES ('7','2025-02-13','13:00','7','7', '7','7')</v>
      </c>
    </row>
    <row r="9" spans="1:8" x14ac:dyDescent="0.25">
      <c r="A9">
        <v>8</v>
      </c>
      <c r="B9" s="1">
        <v>45701</v>
      </c>
      <c r="C9" s="2">
        <v>0.875</v>
      </c>
      <c r="D9">
        <v>8</v>
      </c>
      <c r="E9">
        <v>8</v>
      </c>
      <c r="F9">
        <v>8</v>
      </c>
      <c r="G9">
        <v>8</v>
      </c>
      <c r="H9" t="str">
        <f t="shared" si="0"/>
        <v>INSERT INTO FUNCION VALUES ('8','2025-02-13','21:00','8','8', '8','8')</v>
      </c>
    </row>
    <row r="10" spans="1:8" x14ac:dyDescent="0.25">
      <c r="A10">
        <v>9</v>
      </c>
      <c r="B10" s="1">
        <v>45702</v>
      </c>
      <c r="C10" s="2">
        <v>0.70833333333333337</v>
      </c>
      <c r="D10">
        <v>9</v>
      </c>
      <c r="E10">
        <v>9</v>
      </c>
      <c r="F10">
        <v>9</v>
      </c>
      <c r="G10">
        <v>9</v>
      </c>
      <c r="H10" t="str">
        <f t="shared" si="0"/>
        <v>INSERT INTO FUNCION VALUES ('9','2025-02-14','17:00','9','9', '9','9')</v>
      </c>
    </row>
    <row r="11" spans="1:8" x14ac:dyDescent="0.25">
      <c r="A11">
        <v>10</v>
      </c>
      <c r="B11" s="1">
        <v>45702</v>
      </c>
      <c r="C11" s="2">
        <v>0.91666666666666663</v>
      </c>
      <c r="D11">
        <v>10</v>
      </c>
      <c r="E11">
        <v>10</v>
      </c>
      <c r="F11">
        <v>10</v>
      </c>
      <c r="G11">
        <v>10</v>
      </c>
      <c r="H11" t="str">
        <f t="shared" si="0"/>
        <v>INSERT INTO FUNCION VALUES ('10','2025-02-14','22:00','10','10', '10','10')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502F7-7798-4C1C-B95D-82EA38104D80}">
  <dimension ref="A1:E11"/>
  <sheetViews>
    <sheetView workbookViewId="0">
      <selection activeCell="E2" sqref="E2"/>
    </sheetView>
  </sheetViews>
  <sheetFormatPr baseColWidth="10" defaultRowHeight="15" x14ac:dyDescent="0.25"/>
  <sheetData>
    <row r="1" spans="1:5" x14ac:dyDescent="0.25">
      <c r="A1" t="s">
        <v>221</v>
      </c>
      <c r="B1" t="s">
        <v>77</v>
      </c>
      <c r="C1" t="s">
        <v>222</v>
      </c>
      <c r="D1" t="s">
        <v>223</v>
      </c>
    </row>
    <row r="2" spans="1:5" x14ac:dyDescent="0.25">
      <c r="A2">
        <v>1</v>
      </c>
      <c r="B2" t="s">
        <v>224</v>
      </c>
      <c r="C2" t="s">
        <v>225</v>
      </c>
      <c r="D2">
        <v>12</v>
      </c>
      <c r="E2" t="str">
        <f>"INSERT INTO MEMBRESIA VALUES ('"&amp;A2&amp;"','"&amp;B2&amp;"','"&amp;C2&amp;"','"&amp;D2&amp;"')"</f>
        <v>INSERT INTO MEMBRESIA VALUES ('1','Gold','20.00','12')</v>
      </c>
    </row>
    <row r="3" spans="1:5" x14ac:dyDescent="0.25">
      <c r="A3">
        <v>2</v>
      </c>
      <c r="B3" t="s">
        <v>226</v>
      </c>
      <c r="C3" t="s">
        <v>227</v>
      </c>
      <c r="D3">
        <v>6</v>
      </c>
      <c r="E3" t="str">
        <f t="shared" ref="E3:E11" si="0">"INSERT INTO MEMBRESIA VALUES ('"&amp;A3&amp;"','"&amp;B3&amp;"','"&amp;C3&amp;"','"&amp;D3&amp;"')"</f>
        <v>INSERT INTO MEMBRESIA VALUES ('2','Silver','10.00','6')</v>
      </c>
    </row>
    <row r="4" spans="1:5" x14ac:dyDescent="0.25">
      <c r="A4">
        <v>3</v>
      </c>
      <c r="B4" t="s">
        <v>228</v>
      </c>
      <c r="C4" t="s">
        <v>229</v>
      </c>
      <c r="D4">
        <v>1</v>
      </c>
      <c r="E4" t="str">
        <f t="shared" si="0"/>
        <v>INSERT INTO MEMBRESIA VALUES ('3','Básica','0.00','1')</v>
      </c>
    </row>
    <row r="5" spans="1:5" x14ac:dyDescent="0.25">
      <c r="A5">
        <v>4</v>
      </c>
      <c r="B5" t="s">
        <v>230</v>
      </c>
      <c r="C5" t="s">
        <v>231</v>
      </c>
      <c r="D5">
        <v>24</v>
      </c>
      <c r="E5" t="str">
        <f t="shared" si="0"/>
        <v>INSERT INTO MEMBRESIA VALUES ('4','Platinum','30.00','24')</v>
      </c>
    </row>
    <row r="6" spans="1:5" x14ac:dyDescent="0.25">
      <c r="A6">
        <v>5</v>
      </c>
      <c r="B6" t="s">
        <v>232</v>
      </c>
      <c r="C6" t="s">
        <v>233</v>
      </c>
      <c r="D6">
        <v>18</v>
      </c>
      <c r="E6" t="str">
        <f t="shared" si="0"/>
        <v>INSERT INTO MEMBRESIA VALUES ('5','Premium','25.00','18')</v>
      </c>
    </row>
    <row r="7" spans="1:5" x14ac:dyDescent="0.25">
      <c r="A7">
        <v>6</v>
      </c>
      <c r="B7" t="s">
        <v>234</v>
      </c>
      <c r="C7" t="s">
        <v>235</v>
      </c>
      <c r="D7">
        <v>6</v>
      </c>
      <c r="E7" t="str">
        <f t="shared" si="0"/>
        <v>INSERT INTO MEMBRESIA VALUES ('6','Student','15.00','6')</v>
      </c>
    </row>
    <row r="8" spans="1:5" x14ac:dyDescent="0.25">
      <c r="A8">
        <v>7</v>
      </c>
      <c r="B8" t="s">
        <v>236</v>
      </c>
      <c r="C8" t="s">
        <v>237</v>
      </c>
      <c r="D8">
        <v>12</v>
      </c>
      <c r="E8" t="str">
        <f t="shared" si="0"/>
        <v>INSERT INTO MEMBRESIA VALUES ('7','Familiar','12.00','12')</v>
      </c>
    </row>
    <row r="9" spans="1:5" x14ac:dyDescent="0.25">
      <c r="A9">
        <v>8</v>
      </c>
      <c r="B9" t="s">
        <v>84</v>
      </c>
      <c r="C9" t="s">
        <v>238</v>
      </c>
      <c r="D9">
        <v>12</v>
      </c>
      <c r="E9" t="str">
        <f t="shared" si="0"/>
        <v>INSERT INTO MEMBRESIA VALUES ('8','VIP','35.00','12')</v>
      </c>
    </row>
    <row r="10" spans="1:5" x14ac:dyDescent="0.25">
      <c r="A10">
        <v>9</v>
      </c>
      <c r="B10" t="s">
        <v>239</v>
      </c>
      <c r="C10" t="s">
        <v>240</v>
      </c>
      <c r="D10">
        <v>1</v>
      </c>
      <c r="E10" t="str">
        <f t="shared" si="0"/>
        <v>INSERT INTO MEMBRESIA VALUES ('9','Weekend','5.00','1')</v>
      </c>
    </row>
    <row r="11" spans="1:5" x14ac:dyDescent="0.25">
      <c r="A11">
        <v>10</v>
      </c>
      <c r="B11" t="s">
        <v>241</v>
      </c>
      <c r="C11" t="s">
        <v>229</v>
      </c>
      <c r="D11">
        <v>0</v>
      </c>
      <c r="E11" t="str">
        <f t="shared" si="0"/>
        <v>INSERT INTO MEMBRESIA VALUES ('10','Invitado','0.00','0')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10C58-074E-4DF4-ACD9-6D6F4BF8E40E}">
  <dimension ref="A1:F11"/>
  <sheetViews>
    <sheetView workbookViewId="0">
      <selection activeCell="F2" sqref="F2"/>
    </sheetView>
  </sheetViews>
  <sheetFormatPr baseColWidth="10" defaultRowHeight="15" x14ac:dyDescent="0.25"/>
  <sheetData>
    <row r="1" spans="1:6" x14ac:dyDescent="0.25">
      <c r="A1" t="s">
        <v>242</v>
      </c>
      <c r="B1" t="s">
        <v>1</v>
      </c>
      <c r="C1" t="s">
        <v>243</v>
      </c>
      <c r="D1" t="s">
        <v>244</v>
      </c>
      <c r="E1" t="s">
        <v>245</v>
      </c>
    </row>
    <row r="2" spans="1:6" x14ac:dyDescent="0.25">
      <c r="A2">
        <v>1</v>
      </c>
      <c r="B2" t="s">
        <v>246</v>
      </c>
      <c r="C2" t="s">
        <v>247</v>
      </c>
      <c r="D2">
        <v>3010000000</v>
      </c>
      <c r="E2">
        <v>1</v>
      </c>
      <c r="F2" t="str">
        <f>"INSERT INTO CLIENTE VALUES ('"&amp;A2&amp;"','"&amp;B2&amp;"','"&amp;C2&amp;"','"&amp;D2&amp;"','"&amp;E2&amp;"')"</f>
        <v>INSERT INTO CLIENTE VALUES ('1','Roberto Sánchez','robert@gmail.com','3010000000','1')</v>
      </c>
    </row>
    <row r="3" spans="1:6" x14ac:dyDescent="0.25">
      <c r="A3">
        <v>2</v>
      </c>
      <c r="B3" t="s">
        <v>156</v>
      </c>
      <c r="C3" t="s">
        <v>248</v>
      </c>
      <c r="D3">
        <v>3020000000</v>
      </c>
      <c r="E3">
        <v>2</v>
      </c>
      <c r="F3" t="str">
        <f t="shared" ref="F3:F11" si="0">"INSERT INTO CLIENTE VALUES ('"&amp;A3&amp;"','"&amp;B3&amp;"','"&amp;C3&amp;"','"&amp;D3&amp;"','"&amp;E3&amp;"')"</f>
        <v>INSERT INTO CLIENTE VALUES ('2','María López','maria@gmail.com','3020000000','2')</v>
      </c>
    </row>
    <row r="4" spans="1:6" x14ac:dyDescent="0.25">
      <c r="A4">
        <v>3</v>
      </c>
      <c r="B4" t="s">
        <v>249</v>
      </c>
      <c r="C4" t="s">
        <v>250</v>
      </c>
      <c r="D4">
        <v>3030000000</v>
      </c>
      <c r="E4">
        <v>3</v>
      </c>
      <c r="F4" t="str">
        <f t="shared" si="0"/>
        <v>INSERT INTO CLIENTE VALUES ('3','Juan Torres','juant@gmail.com','3030000000','3')</v>
      </c>
    </row>
    <row r="5" spans="1:6" x14ac:dyDescent="0.25">
      <c r="A5">
        <v>4</v>
      </c>
      <c r="B5" t="s">
        <v>251</v>
      </c>
      <c r="C5" t="s">
        <v>252</v>
      </c>
      <c r="D5">
        <v>3040000000</v>
      </c>
      <c r="E5">
        <v>4</v>
      </c>
      <c r="F5" t="str">
        <f t="shared" si="0"/>
        <v>INSERT INTO CLIENTE VALUES ('4','Laura Martínez','lauram@gmail.com','3040000000','4')</v>
      </c>
    </row>
    <row r="6" spans="1:6" x14ac:dyDescent="0.25">
      <c r="A6">
        <v>5</v>
      </c>
      <c r="B6" t="s">
        <v>253</v>
      </c>
      <c r="C6" t="s">
        <v>254</v>
      </c>
      <c r="D6">
        <v>3050000000</v>
      </c>
      <c r="E6">
        <v>5</v>
      </c>
      <c r="F6" t="str">
        <f t="shared" si="0"/>
        <v>INSERT INTO CLIENTE VALUES ('5','Pedro Gómez','pedrog@gmail.com','3050000000','5')</v>
      </c>
    </row>
    <row r="7" spans="1:6" x14ac:dyDescent="0.25">
      <c r="A7">
        <v>6</v>
      </c>
      <c r="B7" t="s">
        <v>255</v>
      </c>
      <c r="C7" t="s">
        <v>256</v>
      </c>
      <c r="D7">
        <v>3060000000</v>
      </c>
      <c r="E7">
        <v>6</v>
      </c>
      <c r="F7" t="str">
        <f t="shared" si="0"/>
        <v>INSERT INTO CLIENTE VALUES ('6','Sofía Hernández','sofiah@gmail.com','3060000000','6')</v>
      </c>
    </row>
    <row r="8" spans="1:6" x14ac:dyDescent="0.25">
      <c r="A8">
        <v>7</v>
      </c>
      <c r="B8" t="s">
        <v>257</v>
      </c>
      <c r="C8" t="s">
        <v>258</v>
      </c>
      <c r="D8">
        <v>3070000000</v>
      </c>
      <c r="E8">
        <v>7</v>
      </c>
      <c r="F8" t="str">
        <f t="shared" si="0"/>
        <v>INSERT INTO CLIENTE VALUES ('7','Carlos Ortiz','carloso@gmail.com','3070000000','7')</v>
      </c>
    </row>
    <row r="9" spans="1:6" x14ac:dyDescent="0.25">
      <c r="A9">
        <v>8</v>
      </c>
      <c r="B9" t="s">
        <v>259</v>
      </c>
      <c r="C9" t="s">
        <v>260</v>
      </c>
      <c r="D9">
        <v>3080000000</v>
      </c>
      <c r="E9">
        <v>8</v>
      </c>
      <c r="F9" t="str">
        <f t="shared" si="0"/>
        <v>INSERT INTO CLIENTE VALUES ('8','Diana Rivas','dianar@gmail.com','3080000000','8')</v>
      </c>
    </row>
    <row r="10" spans="1:6" x14ac:dyDescent="0.25">
      <c r="A10">
        <v>9</v>
      </c>
      <c r="B10" t="s">
        <v>261</v>
      </c>
      <c r="C10" t="s">
        <v>262</v>
      </c>
      <c r="D10">
        <v>3090000000</v>
      </c>
      <c r="E10">
        <v>9</v>
      </c>
      <c r="F10" t="str">
        <f t="shared" si="0"/>
        <v>INSERT INTO CLIENTE VALUES ('9','Esteban Silva','estebans@gmail.com','3090000000','9')</v>
      </c>
    </row>
    <row r="11" spans="1:6" x14ac:dyDescent="0.25">
      <c r="A11">
        <v>10</v>
      </c>
      <c r="B11" t="s">
        <v>263</v>
      </c>
      <c r="C11" t="s">
        <v>264</v>
      </c>
      <c r="D11">
        <v>3100000000</v>
      </c>
      <c r="E11">
        <v>10</v>
      </c>
      <c r="F11" t="str">
        <f t="shared" si="0"/>
        <v>INSERT INTO CLIENTE VALUES ('10','Natalia Cruz','nataliac@gmail.com','3100000000','10')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DE3A4-0C31-4906-88C8-485DBE036B10}">
  <dimension ref="A1:F11"/>
  <sheetViews>
    <sheetView workbookViewId="0">
      <selection activeCell="F2" sqref="F2:F11"/>
    </sheetView>
  </sheetViews>
  <sheetFormatPr baseColWidth="10" defaultRowHeight="15" x14ac:dyDescent="0.25"/>
  <sheetData>
    <row r="1" spans="1:6" x14ac:dyDescent="0.25">
      <c r="A1" t="s">
        <v>265</v>
      </c>
      <c r="B1" t="s">
        <v>216</v>
      </c>
      <c r="C1" t="s">
        <v>266</v>
      </c>
      <c r="D1" t="s">
        <v>267</v>
      </c>
      <c r="E1" t="s">
        <v>268</v>
      </c>
    </row>
    <row r="2" spans="1:6" x14ac:dyDescent="0.25">
      <c r="A2">
        <v>1</v>
      </c>
      <c r="B2" s="1">
        <v>45693</v>
      </c>
      <c r="C2" t="s">
        <v>269</v>
      </c>
      <c r="D2">
        <v>1</v>
      </c>
      <c r="E2">
        <v>1</v>
      </c>
      <c r="F2" t="str">
        <f>"INSERT INTO RESERVA VALUES ('"&amp;A2&amp;"','"&amp;TEXT(B2,"YYYY-MM-DD")&amp;"','"&amp;C2&amp;"','"&amp;D2&amp;"','"&amp;E2&amp;"')"</f>
        <v>INSERT INTO RESERVA VALUES ('1','2025-02-05','Activa','1','1')</v>
      </c>
    </row>
    <row r="3" spans="1:6" x14ac:dyDescent="0.25">
      <c r="A3">
        <v>2</v>
      </c>
      <c r="B3" s="1">
        <v>45694</v>
      </c>
      <c r="C3" t="s">
        <v>270</v>
      </c>
      <c r="D3">
        <v>2</v>
      </c>
      <c r="E3">
        <v>2</v>
      </c>
      <c r="F3" t="str">
        <f t="shared" ref="F3:F11" si="0">"INSERT INTO RESERVA VALUES ('"&amp;A3&amp;"','"&amp;TEXT(B3,"YYYY-MM-DD")&amp;"','"&amp;C3&amp;"','"&amp;D3&amp;"','"&amp;E3&amp;"')"</f>
        <v>INSERT INTO RESERVA VALUES ('2','2025-02-06','Cancelada','2','2')</v>
      </c>
    </row>
    <row r="4" spans="1:6" x14ac:dyDescent="0.25">
      <c r="A4">
        <v>3</v>
      </c>
      <c r="B4" s="1">
        <v>45695</v>
      </c>
      <c r="C4" t="s">
        <v>269</v>
      </c>
      <c r="D4">
        <v>3</v>
      </c>
      <c r="E4">
        <v>3</v>
      </c>
      <c r="F4" t="str">
        <f t="shared" si="0"/>
        <v>INSERT INTO RESERVA VALUES ('3','2025-02-07','Activa','3','3')</v>
      </c>
    </row>
    <row r="5" spans="1:6" x14ac:dyDescent="0.25">
      <c r="A5">
        <v>4</v>
      </c>
      <c r="B5" s="1">
        <v>45695</v>
      </c>
      <c r="C5" t="s">
        <v>269</v>
      </c>
      <c r="D5">
        <v>4</v>
      </c>
      <c r="E5">
        <v>4</v>
      </c>
      <c r="F5" t="str">
        <f t="shared" si="0"/>
        <v>INSERT INTO RESERVA VALUES ('4','2025-02-07','Activa','4','4')</v>
      </c>
    </row>
    <row r="6" spans="1:6" x14ac:dyDescent="0.25">
      <c r="A6">
        <v>5</v>
      </c>
      <c r="B6" s="1">
        <v>45696</v>
      </c>
      <c r="C6" t="s">
        <v>271</v>
      </c>
      <c r="D6">
        <v>5</v>
      </c>
      <c r="E6">
        <v>5</v>
      </c>
      <c r="F6" t="str">
        <f t="shared" si="0"/>
        <v>INSERT INTO RESERVA VALUES ('5','2025-02-08','Pendiente','5','5')</v>
      </c>
    </row>
    <row r="7" spans="1:6" x14ac:dyDescent="0.25">
      <c r="A7">
        <v>6</v>
      </c>
      <c r="B7" s="1">
        <v>45696</v>
      </c>
      <c r="C7" t="s">
        <v>269</v>
      </c>
      <c r="D7">
        <v>6</v>
      </c>
      <c r="E7">
        <v>6</v>
      </c>
      <c r="F7" t="str">
        <f t="shared" si="0"/>
        <v>INSERT INTO RESERVA VALUES ('6','2025-02-08','Activa','6','6')</v>
      </c>
    </row>
    <row r="8" spans="1:6" x14ac:dyDescent="0.25">
      <c r="A8">
        <v>7</v>
      </c>
      <c r="B8" s="1">
        <v>45697</v>
      </c>
      <c r="C8" t="s">
        <v>270</v>
      </c>
      <c r="D8">
        <v>7</v>
      </c>
      <c r="E8">
        <v>7</v>
      </c>
      <c r="F8" t="str">
        <f t="shared" si="0"/>
        <v>INSERT INTO RESERVA VALUES ('7','2025-02-09','Cancelada','7','7')</v>
      </c>
    </row>
    <row r="9" spans="1:6" x14ac:dyDescent="0.25">
      <c r="A9">
        <v>8</v>
      </c>
      <c r="B9" s="1">
        <v>45697</v>
      </c>
      <c r="C9" t="s">
        <v>269</v>
      </c>
      <c r="D9">
        <v>8</v>
      </c>
      <c r="E9">
        <v>8</v>
      </c>
      <c r="F9" t="str">
        <f t="shared" si="0"/>
        <v>INSERT INTO RESERVA VALUES ('8','2025-02-09','Activa','8','8')</v>
      </c>
    </row>
    <row r="10" spans="1:6" x14ac:dyDescent="0.25">
      <c r="A10">
        <v>9</v>
      </c>
      <c r="B10" s="1">
        <v>45698</v>
      </c>
      <c r="C10" t="s">
        <v>271</v>
      </c>
      <c r="D10">
        <v>9</v>
      </c>
      <c r="E10">
        <v>9</v>
      </c>
      <c r="F10" t="str">
        <f t="shared" si="0"/>
        <v>INSERT INTO RESERVA VALUES ('9','2025-02-10','Pendiente','9','9')</v>
      </c>
    </row>
    <row r="11" spans="1:6" x14ac:dyDescent="0.25">
      <c r="A11">
        <v>10</v>
      </c>
      <c r="B11" s="1">
        <v>45698</v>
      </c>
      <c r="C11" t="s">
        <v>269</v>
      </c>
      <c r="D11">
        <v>10</v>
      </c>
      <c r="E11">
        <v>10</v>
      </c>
      <c r="F11" t="str">
        <f t="shared" si="0"/>
        <v>INSERT INTO RESERVA VALUES ('10','2025-02-10','Activa','10','10')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DBD7B-A6CA-42BB-8FA6-C635D8F6F0D0}">
  <dimension ref="A1:F11"/>
  <sheetViews>
    <sheetView workbookViewId="0">
      <selection activeCell="F2" sqref="F2"/>
    </sheetView>
  </sheetViews>
  <sheetFormatPr baseColWidth="10" defaultRowHeight="15" x14ac:dyDescent="0.25"/>
  <sheetData>
    <row r="1" spans="1:6" x14ac:dyDescent="0.25">
      <c r="A1" t="s">
        <v>272</v>
      </c>
      <c r="B1" t="s">
        <v>273</v>
      </c>
      <c r="C1" t="s">
        <v>274</v>
      </c>
      <c r="D1" t="s">
        <v>275</v>
      </c>
      <c r="E1" t="s">
        <v>276</v>
      </c>
    </row>
    <row r="2" spans="1:6" x14ac:dyDescent="0.25">
      <c r="A2">
        <v>1</v>
      </c>
      <c r="B2" t="s">
        <v>277</v>
      </c>
      <c r="C2">
        <v>15000</v>
      </c>
      <c r="D2">
        <v>1</v>
      </c>
      <c r="E2">
        <v>1</v>
      </c>
      <c r="F2" t="str">
        <f>"INSERT INTO BOLETO VALUES ('"&amp;A2&amp;"','"&amp;B2&amp;"','"&amp;C2&amp;"','"&amp;D2&amp;"','"&amp;E2&amp;"')"</f>
        <v>INSERT INTO BOLETO VALUES ('1','A12','15000','1','1')</v>
      </c>
    </row>
    <row r="3" spans="1:6" x14ac:dyDescent="0.25">
      <c r="A3">
        <v>2</v>
      </c>
      <c r="B3" t="s">
        <v>278</v>
      </c>
      <c r="C3">
        <v>18000</v>
      </c>
      <c r="D3">
        <v>2</v>
      </c>
      <c r="E3">
        <v>2</v>
      </c>
      <c r="F3" t="str">
        <f t="shared" ref="F3:F11" si="0">"INSERT INTO BOLETO VALUES ('"&amp;A3&amp;"','"&amp;B3&amp;"','"&amp;C3&amp;"','"&amp;D3&amp;"','"&amp;E3&amp;"')"</f>
        <v>INSERT INTO BOLETO VALUES ('2','B05','18000','2','2')</v>
      </c>
    </row>
    <row r="4" spans="1:6" x14ac:dyDescent="0.25">
      <c r="A4">
        <v>3</v>
      </c>
      <c r="B4" t="s">
        <v>279</v>
      </c>
      <c r="C4">
        <v>20000</v>
      </c>
      <c r="D4">
        <v>1</v>
      </c>
      <c r="E4">
        <v>3</v>
      </c>
      <c r="F4" t="str">
        <f t="shared" si="0"/>
        <v>INSERT INTO BOLETO VALUES ('3','C10','20000','1','3')</v>
      </c>
    </row>
    <row r="5" spans="1:6" x14ac:dyDescent="0.25">
      <c r="A5">
        <v>4</v>
      </c>
      <c r="B5" t="s">
        <v>280</v>
      </c>
      <c r="C5">
        <v>25000</v>
      </c>
      <c r="D5">
        <v>3</v>
      </c>
      <c r="E5">
        <v>4</v>
      </c>
      <c r="F5" t="str">
        <f t="shared" si="0"/>
        <v>INSERT INTO BOLETO VALUES ('4','D03','25000','3','4')</v>
      </c>
    </row>
    <row r="6" spans="1:6" x14ac:dyDescent="0.25">
      <c r="A6">
        <v>5</v>
      </c>
      <c r="B6" t="s">
        <v>281</v>
      </c>
      <c r="C6">
        <v>15000</v>
      </c>
      <c r="D6">
        <v>1</v>
      </c>
      <c r="E6">
        <v>5</v>
      </c>
      <c r="F6" t="str">
        <f t="shared" si="0"/>
        <v>INSERT INTO BOLETO VALUES ('5','A01','15000','1','5')</v>
      </c>
    </row>
    <row r="7" spans="1:6" x14ac:dyDescent="0.25">
      <c r="A7">
        <v>6</v>
      </c>
      <c r="B7" t="s">
        <v>282</v>
      </c>
      <c r="C7">
        <v>18000</v>
      </c>
      <c r="D7">
        <v>2</v>
      </c>
      <c r="E7">
        <v>1</v>
      </c>
      <c r="F7" t="str">
        <f t="shared" si="0"/>
        <v>INSERT INTO BOLETO VALUES ('6','B11','18000','2','1')</v>
      </c>
    </row>
    <row r="8" spans="1:6" x14ac:dyDescent="0.25">
      <c r="A8">
        <v>7</v>
      </c>
      <c r="B8" t="s">
        <v>283</v>
      </c>
      <c r="C8">
        <v>22000</v>
      </c>
      <c r="D8">
        <v>3</v>
      </c>
      <c r="E8">
        <v>2</v>
      </c>
      <c r="F8" t="str">
        <f t="shared" si="0"/>
        <v>INSERT INTO BOLETO VALUES ('7','C07','22000','3','2')</v>
      </c>
    </row>
    <row r="9" spans="1:6" x14ac:dyDescent="0.25">
      <c r="A9">
        <v>8</v>
      </c>
      <c r="B9" t="s">
        <v>284</v>
      </c>
      <c r="C9">
        <v>25000</v>
      </c>
      <c r="D9">
        <v>4</v>
      </c>
      <c r="E9">
        <v>3</v>
      </c>
      <c r="F9" t="str">
        <f t="shared" si="0"/>
        <v>INSERT INTO BOLETO VALUES ('8','D15','25000','4','3')</v>
      </c>
    </row>
    <row r="10" spans="1:6" x14ac:dyDescent="0.25">
      <c r="A10">
        <v>9</v>
      </c>
      <c r="B10" t="s">
        <v>285</v>
      </c>
      <c r="C10">
        <v>15000</v>
      </c>
      <c r="D10">
        <v>1</v>
      </c>
      <c r="E10">
        <v>4</v>
      </c>
      <c r="F10" t="str">
        <f t="shared" si="0"/>
        <v>INSERT INTO BOLETO VALUES ('9','A09','15000','1','4')</v>
      </c>
    </row>
    <row r="11" spans="1:6" x14ac:dyDescent="0.25">
      <c r="A11">
        <v>10</v>
      </c>
      <c r="B11" t="s">
        <v>286</v>
      </c>
      <c r="C11">
        <v>18000</v>
      </c>
      <c r="D11">
        <v>2</v>
      </c>
      <c r="E11">
        <v>5</v>
      </c>
      <c r="F11" t="str">
        <f t="shared" si="0"/>
        <v>INSERT INTO BOLETO VALUES ('10','B02','18000','2','5')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4FE1E-DA99-425C-A694-A9966FC8E0CA}">
  <dimension ref="A1:D11"/>
  <sheetViews>
    <sheetView workbookViewId="0">
      <selection activeCell="D2" sqref="D2"/>
    </sheetView>
  </sheetViews>
  <sheetFormatPr baseColWidth="10" defaultRowHeight="15" x14ac:dyDescent="0.25"/>
  <sheetData>
    <row r="1" spans="1:4" x14ac:dyDescent="0.25">
      <c r="A1" t="s">
        <v>287</v>
      </c>
      <c r="B1" t="s">
        <v>288</v>
      </c>
      <c r="C1" t="s">
        <v>289</v>
      </c>
    </row>
    <row r="2" spans="1:4" x14ac:dyDescent="0.25">
      <c r="A2">
        <v>1</v>
      </c>
      <c r="B2" t="s">
        <v>290</v>
      </c>
      <c r="C2" t="s">
        <v>225</v>
      </c>
      <c r="D2" t="str">
        <f>"INSERT INTO PROMOCION VALUES ('"&amp;A2&amp;"','"&amp;B2&amp;"','"&amp;C2&amp;"')"</f>
        <v>INSERT INTO PROMOCION VALUES ('1','Descuento por miércoles','20.00')</v>
      </c>
    </row>
    <row r="3" spans="1:4" x14ac:dyDescent="0.25">
      <c r="A3">
        <v>2</v>
      </c>
      <c r="B3" t="s">
        <v>291</v>
      </c>
      <c r="C3" t="s">
        <v>235</v>
      </c>
      <c r="D3" t="str">
        <f t="shared" ref="D3:D11" si="0">"INSERT INTO PROMOCION VALUES ('"&amp;A3&amp;"','"&amp;B3&amp;"','"&amp;C3&amp;"')"</f>
        <v>INSERT INTO PROMOCION VALUES ('2','Promo estudiante','15.00')</v>
      </c>
    </row>
    <row r="4" spans="1:4" x14ac:dyDescent="0.25">
      <c r="A4">
        <v>3</v>
      </c>
      <c r="B4" t="s">
        <v>292</v>
      </c>
      <c r="C4" t="s">
        <v>227</v>
      </c>
      <c r="D4" t="str">
        <f t="shared" si="0"/>
        <v>INSERT INTO PROMOCION VALUES ('3','Promo fin de semana','10.00')</v>
      </c>
    </row>
    <row r="5" spans="1:4" x14ac:dyDescent="0.25">
      <c r="A5">
        <v>4</v>
      </c>
      <c r="B5" t="s">
        <v>293</v>
      </c>
      <c r="C5" t="s">
        <v>233</v>
      </c>
      <c r="D5" t="str">
        <f t="shared" si="0"/>
        <v>INSERT INTO PROMOCION VALUES ('4','Descuento adulto mayor','25.00')</v>
      </c>
    </row>
    <row r="6" spans="1:4" x14ac:dyDescent="0.25">
      <c r="A6">
        <v>5</v>
      </c>
      <c r="B6" t="s">
        <v>294</v>
      </c>
      <c r="C6" t="s">
        <v>237</v>
      </c>
      <c r="D6" t="str">
        <f t="shared" si="0"/>
        <v>INSERT INTO PROMOCION VALUES ('5','Combo pareja','12.00')</v>
      </c>
    </row>
    <row r="7" spans="1:4" x14ac:dyDescent="0.25">
      <c r="A7">
        <v>6</v>
      </c>
      <c r="B7" t="s">
        <v>295</v>
      </c>
      <c r="C7" t="s">
        <v>231</v>
      </c>
      <c r="D7" t="str">
        <f t="shared" si="0"/>
        <v>INSERT INTO PROMOCION VALUES ('6','Promo cumpleaños','30.00')</v>
      </c>
    </row>
    <row r="8" spans="1:4" x14ac:dyDescent="0.25">
      <c r="A8">
        <v>7</v>
      </c>
      <c r="B8" t="s">
        <v>296</v>
      </c>
      <c r="C8" t="s">
        <v>297</v>
      </c>
      <c r="D8" t="str">
        <f t="shared" si="0"/>
        <v>INSERT INTO PROMOCION VALUES ('7','Descuento primera compra','18.00')</v>
      </c>
    </row>
    <row r="9" spans="1:4" x14ac:dyDescent="0.25">
      <c r="A9">
        <v>8</v>
      </c>
      <c r="B9" t="s">
        <v>298</v>
      </c>
      <c r="C9" t="s">
        <v>299</v>
      </c>
      <c r="D9" t="str">
        <f t="shared" si="0"/>
        <v>INSERT INTO PROMOCION VALUES ('8','Promo VIP','22.00')</v>
      </c>
    </row>
    <row r="10" spans="1:4" x14ac:dyDescent="0.25">
      <c r="A10">
        <v>9</v>
      </c>
      <c r="B10" t="s">
        <v>300</v>
      </c>
      <c r="C10" t="s">
        <v>301</v>
      </c>
      <c r="D10" t="str">
        <f t="shared" si="0"/>
        <v>INSERT INTO PROMOCION VALUES ('9','Promo temporada','14.00')</v>
      </c>
    </row>
    <row r="11" spans="1:4" x14ac:dyDescent="0.25">
      <c r="A11">
        <v>10</v>
      </c>
      <c r="B11" t="s">
        <v>302</v>
      </c>
      <c r="C11" t="s">
        <v>303</v>
      </c>
      <c r="D11" t="str">
        <f t="shared" si="0"/>
        <v>INSERT INTO PROMOCION VALUES ('10','Happy hour','16.00')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0F73D-E28D-44F8-B90E-DA0F71EAD102}">
  <dimension ref="A1:C11"/>
  <sheetViews>
    <sheetView tabSelected="1" workbookViewId="0">
      <selection activeCell="H21" sqref="H21"/>
    </sheetView>
  </sheetViews>
  <sheetFormatPr baseColWidth="10" defaultRowHeight="15" x14ac:dyDescent="0.25"/>
  <sheetData>
    <row r="1" spans="1:3" x14ac:dyDescent="0.25">
      <c r="A1" t="s">
        <v>272</v>
      </c>
      <c r="B1" t="s">
        <v>287</v>
      </c>
    </row>
    <row r="2" spans="1:3" x14ac:dyDescent="0.25">
      <c r="A2">
        <v>1</v>
      </c>
      <c r="B2">
        <v>1</v>
      </c>
      <c r="C2" t="str">
        <f>"INSERT INTO BOLETO_PROMOCION VALUES ('"&amp;A2&amp;"','"&amp;B2&amp;"')"</f>
        <v>INSERT INTO BOLETO_PROMOCION VALUES ('1','1')</v>
      </c>
    </row>
    <row r="3" spans="1:3" x14ac:dyDescent="0.25">
      <c r="A3">
        <v>2</v>
      </c>
      <c r="B3">
        <v>2</v>
      </c>
      <c r="C3" t="str">
        <f t="shared" ref="C3:C11" si="0">"INSERT INTO BOLETO_PROMOCION VALUES ('"&amp;A3&amp;"','"&amp;B3&amp;"')"</f>
        <v>INSERT INTO BOLETO_PROMOCION VALUES ('2','2')</v>
      </c>
    </row>
    <row r="4" spans="1:3" x14ac:dyDescent="0.25">
      <c r="A4">
        <v>3</v>
      </c>
      <c r="B4">
        <v>3</v>
      </c>
      <c r="C4" t="str">
        <f t="shared" si="0"/>
        <v>INSERT INTO BOLETO_PROMOCION VALUES ('3','3')</v>
      </c>
    </row>
    <row r="5" spans="1:3" x14ac:dyDescent="0.25">
      <c r="A5">
        <v>4</v>
      </c>
      <c r="B5">
        <v>1</v>
      </c>
      <c r="C5" t="str">
        <f t="shared" si="0"/>
        <v>INSERT INTO BOLETO_PROMOCION VALUES ('4','1')</v>
      </c>
    </row>
    <row r="6" spans="1:3" x14ac:dyDescent="0.25">
      <c r="A6">
        <v>5</v>
      </c>
      <c r="B6">
        <v>4</v>
      </c>
      <c r="C6" t="str">
        <f t="shared" si="0"/>
        <v>INSERT INTO BOLETO_PROMOCION VALUES ('5','4')</v>
      </c>
    </row>
    <row r="7" spans="1:3" x14ac:dyDescent="0.25">
      <c r="A7">
        <v>6</v>
      </c>
      <c r="B7">
        <v>2</v>
      </c>
      <c r="C7" t="str">
        <f t="shared" si="0"/>
        <v>INSERT INTO BOLETO_PROMOCION VALUES ('6','2')</v>
      </c>
    </row>
    <row r="8" spans="1:3" x14ac:dyDescent="0.25">
      <c r="A8">
        <v>7</v>
      </c>
      <c r="B8">
        <v>5</v>
      </c>
      <c r="C8" t="str">
        <f t="shared" si="0"/>
        <v>INSERT INTO BOLETO_PROMOCION VALUES ('7','5')</v>
      </c>
    </row>
    <row r="9" spans="1:3" x14ac:dyDescent="0.25">
      <c r="A9">
        <v>8</v>
      </c>
      <c r="B9">
        <v>6</v>
      </c>
      <c r="C9" t="str">
        <f t="shared" si="0"/>
        <v>INSERT INTO BOLETO_PROMOCION VALUES ('8','6')</v>
      </c>
    </row>
    <row r="10" spans="1:3" x14ac:dyDescent="0.25">
      <c r="A10">
        <v>9</v>
      </c>
      <c r="B10">
        <v>1</v>
      </c>
      <c r="C10" t="str">
        <f t="shared" si="0"/>
        <v>INSERT INTO BOLETO_PROMOCION VALUES ('9','1')</v>
      </c>
    </row>
    <row r="11" spans="1:3" x14ac:dyDescent="0.25">
      <c r="A11">
        <v>10</v>
      </c>
      <c r="B11">
        <v>7</v>
      </c>
      <c r="C11" t="str">
        <f t="shared" si="0"/>
        <v>INSERT INTO BOLETO_PROMOCION VALUES ('10','7')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FB598-EDF6-4A69-BE17-0D3F488AA96E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21</vt:i4>
      </vt:variant>
    </vt:vector>
  </HeadingPairs>
  <TitlesOfParts>
    <vt:vector size="21" baseType="lpstr">
      <vt:lpstr>GÉNERO</vt:lpstr>
      <vt:lpstr>DISTRIBUIDOR</vt:lpstr>
      <vt:lpstr>PELICULA</vt:lpstr>
      <vt:lpstr>CINE</vt:lpstr>
      <vt:lpstr>SALA</vt:lpstr>
      <vt:lpstr>TIPO_FUNCION</vt:lpstr>
      <vt:lpstr>TIPO_ESPECTACULO</vt:lpstr>
      <vt:lpstr>ESPECIALIDAD</vt:lpstr>
      <vt:lpstr>ARTISTA</vt:lpstr>
      <vt:lpstr>PRODUCTOR</vt:lpstr>
      <vt:lpstr>ESPECTÁCULO</vt:lpstr>
      <vt:lpstr>ARTISTA_ESPECTACULO</vt:lpstr>
      <vt:lpstr>PRODUCTOR_ESPECTACULO</vt:lpstr>
      <vt:lpstr>FUNCION</vt:lpstr>
      <vt:lpstr>MEMBRESIA</vt:lpstr>
      <vt:lpstr>CLIENTE</vt:lpstr>
      <vt:lpstr>RESERVA</vt:lpstr>
      <vt:lpstr>BOLETO</vt:lpstr>
      <vt:lpstr>PROMOCION</vt:lpstr>
      <vt:lpstr>BOLETO_PROMOCION</vt:lpstr>
      <vt:lpstr>Hoja21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Julian Cuadros Astro</dc:creator>
  <cp:lastModifiedBy>David Julian Cuadros Astro</cp:lastModifiedBy>
  <dcterms:created xsi:type="dcterms:W3CDTF">2025-12-06T20:49:48Z</dcterms:created>
  <dcterms:modified xsi:type="dcterms:W3CDTF">2025-12-06T22:50:14Z</dcterms:modified>
</cp:coreProperties>
</file>